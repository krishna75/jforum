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30" yWindow="1485" windowWidth="10860" windowHeight="6660" tabRatio="551" activeTab="1"/>
  </bookViews>
  <sheets>
    <sheet name="Farm plan" sheetId="14" r:id="rId1"/>
    <sheet name="Dashboard" sheetId="12" r:id="rId2"/>
    <sheet name="Sensitivity Analysis Chart" sheetId="13" r:id="rId3"/>
    <sheet name="Calcs" sheetId="5" r:id="rId4"/>
    <sheet name="Sensitivity Analysis" sheetId="10" r:id="rId5"/>
    <sheet name="Sheet1" sheetId="11" r:id="rId6"/>
  </sheets>
  <definedNames>
    <definedName name="Blr_Efficiency">Calcs!$E$75</definedName>
    <definedName name="Crop_DIsplaced_Value">Dashboard!#REF!</definedName>
    <definedName name="Crop_Price">Dashboard!$B$19</definedName>
    <definedName name="Crop_Price_SA">Dashboard!$B$28:$J$28</definedName>
    <definedName name="Crop_Yield">Dashboard!$B$18</definedName>
    <definedName name="Crop_Yield_SA">Dashboard!$B$26:$J$26</definedName>
    <definedName name="Elec_Bill">Dashboard!$C$10</definedName>
    <definedName name="Elec_Capacity">Calcs!$D$40</definedName>
    <definedName name="Elec_Price">Dashboard!$B$20</definedName>
    <definedName name="Elec_SA">Dashboard!$B$30:$J$30</definedName>
    <definedName name="Export_Tariff">Dashboard!$B$22</definedName>
    <definedName name="ExportSA">Dashboard!$B$34:$J$34</definedName>
    <definedName name="Heat_Bill">Dashboard!$C$11</definedName>
    <definedName name="Heat_Price">Dashboard!$B$21</definedName>
    <definedName name="Heat_SA">Dashboard!$B$32:$J$32</definedName>
    <definedName name="Input_Scroll">Dashboard!$H$35</definedName>
    <definedName name="Maize_Area">Dashboard!$C$9</definedName>
    <definedName name="Ops_Hours">Calcs!$D$67</definedName>
    <definedName name="solver_adj" localSheetId="3" hidden="1">Dashboard!$C$6:$C$11</definedName>
    <definedName name="solver_adj" localSheetId="1" hidden="1">Dashboard!$C$6:$C$11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2</definedName>
    <definedName name="solver_eng" localSheetId="1" hidden="1">3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lhs1" localSheetId="3" hidden="1">Dashboard!$C$6</definedName>
    <definedName name="solver_lhs1" localSheetId="1" hidden="1">Dashboard!$C$6</definedName>
    <definedName name="solver_lhs2" localSheetId="3" hidden="1">Dashboard!$C$6</definedName>
    <definedName name="solver_lhs2" localSheetId="1" hidden="1">Dashboard!$C$6</definedName>
    <definedName name="solver_lhs3" localSheetId="3" hidden="1">Dashboard!$C$9</definedName>
    <definedName name="solver_lhs3" localSheetId="1" hidden="1">Dashboard!$C$9</definedName>
    <definedName name="solver_lhs4" localSheetId="3" hidden="1">Dashboard!$C$9</definedName>
    <definedName name="solver_lhs4" localSheetId="1" hidden="1">Dashboard!$C$9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1</definedName>
    <definedName name="solver_neg" localSheetId="1" hidden="1">1</definedName>
    <definedName name="solver_nod" localSheetId="3" hidden="1">2147483647</definedName>
    <definedName name="solver_nod" localSheetId="1" hidden="1">2147483647</definedName>
    <definedName name="solver_num" localSheetId="3" hidden="1">4</definedName>
    <definedName name="solver_num" localSheetId="1" hidden="1">4</definedName>
    <definedName name="solver_nwt" localSheetId="3" hidden="1">1</definedName>
    <definedName name="solver_nwt" localSheetId="1" hidden="1">1</definedName>
    <definedName name="solver_opt" localSheetId="3" hidden="1">Calcs!$D$134</definedName>
    <definedName name="solver_opt" localSheetId="1" hidden="1">Dashboard!$C$15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el1" localSheetId="3" hidden="1">1</definedName>
    <definedName name="solver_rel1" localSheetId="1" hidden="1">1</definedName>
    <definedName name="solver_rel2" localSheetId="3" hidden="1">3</definedName>
    <definedName name="solver_rel2" localSheetId="1" hidden="1">3</definedName>
    <definedName name="solver_rel3" localSheetId="3" hidden="1">1</definedName>
    <definedName name="solver_rel3" localSheetId="1" hidden="1">1</definedName>
    <definedName name="solver_rel4" localSheetId="3" hidden="1">3</definedName>
    <definedName name="solver_rel4" localSheetId="1" hidden="1">3</definedName>
    <definedName name="solver_rhs1" localSheetId="3" hidden="1">700</definedName>
    <definedName name="solver_rhs1" localSheetId="1" hidden="1">850</definedName>
    <definedName name="solver_rhs2" localSheetId="3" hidden="1">1</definedName>
    <definedName name="solver_rhs2" localSheetId="1" hidden="1">5</definedName>
    <definedName name="solver_rhs3" localSheetId="3" hidden="1">200</definedName>
    <definedName name="solver_rhs3" localSheetId="1" hidden="1">500</definedName>
    <definedName name="solver_rhs4" localSheetId="3" hidden="1">1</definedName>
    <definedName name="solver_rhs4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3</definedName>
    <definedName name="solver_typ" localSheetId="1" hidden="1">2</definedName>
    <definedName name="solver_val" localSheetId="3" hidden="1">3</definedName>
    <definedName name="solver_val" localSheetId="1" hidden="1">0</definedName>
    <definedName name="solver_ver" localSheetId="3" hidden="1">3</definedName>
    <definedName name="solver_ver" localSheetId="1" hidden="1">3</definedName>
    <definedName name="SPB">Calcs!$D$134</definedName>
    <definedName name="Summer_Grazed">Dashboard!$C$7</definedName>
    <definedName name="var1_Out">Dashboard!$B$27:$J$27</definedName>
    <definedName name="var2_Out">Dashboard!$B$29:$J$29</definedName>
    <definedName name="var3_Out">Dashboard!$B$31:$J$31</definedName>
    <definedName name="var4_Out">Dashboard!$B$33:$J$33</definedName>
    <definedName name="var5_Out">Dashboard!$B$35:$J$35</definedName>
    <definedName name="Zero_Grazed">Dashboard!$C$6</definedName>
  </definedNames>
  <calcPr calcId="145621"/>
</workbook>
</file>

<file path=xl/calcChain.xml><?xml version="1.0" encoding="utf-8"?>
<calcChain xmlns="http://schemas.openxmlformats.org/spreadsheetml/2006/main">
  <c r="B11" i="14" l="1"/>
  <c r="B4" i="14"/>
  <c r="B3" i="14"/>
  <c r="D12" i="5" l="1"/>
  <c r="C32" i="12" l="1"/>
  <c r="D32" i="12"/>
  <c r="E32" i="12"/>
  <c r="F32" i="12"/>
  <c r="G32" i="12"/>
  <c r="H32" i="12"/>
  <c r="I32" i="12"/>
  <c r="J32" i="12"/>
  <c r="B32" i="12"/>
  <c r="C30" i="12"/>
  <c r="D30" i="12"/>
  <c r="E30" i="12"/>
  <c r="F30" i="12"/>
  <c r="G30" i="12"/>
  <c r="H30" i="12"/>
  <c r="I30" i="12"/>
  <c r="J30" i="12"/>
  <c r="B30" i="12"/>
  <c r="C28" i="12"/>
  <c r="D28" i="12"/>
  <c r="E28" i="12"/>
  <c r="F28" i="12"/>
  <c r="G28" i="12"/>
  <c r="H28" i="12"/>
  <c r="I28" i="12"/>
  <c r="J28" i="12"/>
  <c r="B28" i="12"/>
  <c r="C26" i="12"/>
  <c r="D26" i="12"/>
  <c r="E26" i="12"/>
  <c r="F26" i="12"/>
  <c r="G26" i="12"/>
  <c r="H26" i="12"/>
  <c r="I26" i="12"/>
  <c r="J26" i="12"/>
  <c r="B26" i="12"/>
  <c r="D81" i="5" l="1"/>
  <c r="B14" i="10" l="1"/>
  <c r="H37" i="10" s="1"/>
  <c r="H38" i="10" l="1"/>
  <c r="H46" i="10"/>
  <c r="H33" i="10"/>
  <c r="H47" i="10"/>
  <c r="H27" i="10"/>
  <c r="H35" i="10"/>
  <c r="H42" i="10"/>
  <c r="H29" i="10"/>
  <c r="H30" i="10"/>
  <c r="H44" i="10"/>
  <c r="H45" i="10"/>
  <c r="H39" i="10"/>
  <c r="H34" i="10"/>
  <c r="H41" i="10"/>
  <c r="H36" i="10"/>
  <c r="H40" i="10"/>
  <c r="H28" i="10"/>
  <c r="H43" i="10"/>
  <c r="H31" i="10"/>
  <c r="H32" i="10"/>
  <c r="D75" i="5" l="1"/>
  <c r="D88" i="5"/>
  <c r="D69" i="5"/>
  <c r="D82" i="5"/>
  <c r="D23" i="5"/>
  <c r="B12" i="10"/>
  <c r="B8" i="10"/>
  <c r="D18" i="5"/>
  <c r="B10" i="10" l="1"/>
  <c r="T31" i="10" l="1"/>
  <c r="U31" i="10"/>
  <c r="W31" i="10"/>
  <c r="T32" i="10"/>
  <c r="U32" i="10"/>
  <c r="W32" i="10"/>
  <c r="T33" i="10"/>
  <c r="U33" i="10"/>
  <c r="W33" i="10"/>
  <c r="T34" i="10"/>
  <c r="U34" i="10"/>
  <c r="W34" i="10"/>
  <c r="T35" i="10"/>
  <c r="U35" i="10"/>
  <c r="W35" i="10"/>
  <c r="T36" i="10"/>
  <c r="U36" i="10"/>
  <c r="W36" i="10"/>
  <c r="T37" i="10"/>
  <c r="U37" i="10"/>
  <c r="W37" i="10"/>
  <c r="T38" i="10"/>
  <c r="U38" i="10"/>
  <c r="W38" i="10"/>
  <c r="T39" i="10"/>
  <c r="U39" i="10"/>
  <c r="W39" i="10"/>
  <c r="T40" i="10"/>
  <c r="U40" i="10"/>
  <c r="W40" i="10"/>
  <c r="T41" i="10"/>
  <c r="U41" i="10"/>
  <c r="W41" i="10"/>
  <c r="T42" i="10"/>
  <c r="U42" i="10"/>
  <c r="W42" i="10"/>
  <c r="T43" i="10"/>
  <c r="U43" i="10"/>
  <c r="W43" i="10"/>
  <c r="T44" i="10"/>
  <c r="U44" i="10"/>
  <c r="W44" i="10"/>
  <c r="T45" i="10"/>
  <c r="U45" i="10"/>
  <c r="W45" i="10"/>
  <c r="T46" i="10"/>
  <c r="U46" i="10"/>
  <c r="W46" i="10"/>
  <c r="T47" i="10"/>
  <c r="U47" i="10"/>
  <c r="W47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T27" i="10"/>
  <c r="U27" i="10"/>
  <c r="W27" i="10"/>
  <c r="T28" i="10"/>
  <c r="U28" i="10"/>
  <c r="W28" i="10"/>
  <c r="T29" i="10"/>
  <c r="U29" i="10"/>
  <c r="W29" i="10"/>
  <c r="T30" i="10"/>
  <c r="U30" i="10"/>
  <c r="W30" i="10"/>
  <c r="S28" i="10"/>
  <c r="S29" i="10"/>
  <c r="S30" i="10"/>
  <c r="S31" i="10"/>
  <c r="S27" i="10"/>
  <c r="D37" i="10"/>
  <c r="D67" i="5" l="1"/>
  <c r="D90" i="5" l="1"/>
  <c r="D91" i="5" s="1"/>
  <c r="E91" i="5" s="1"/>
  <c r="F26" i="10"/>
  <c r="C26" i="10"/>
  <c r="B26" i="10"/>
  <c r="A10" i="10"/>
  <c r="D26" i="10" s="1"/>
  <c r="B60" i="5"/>
  <c r="C60" i="5"/>
  <c r="D60" i="5"/>
  <c r="B61" i="5"/>
  <c r="C61" i="5"/>
  <c r="D61" i="5"/>
  <c r="E90" i="5" l="1"/>
  <c r="G37" i="10"/>
  <c r="K26" i="10"/>
  <c r="T26" i="10"/>
  <c r="U26" i="10"/>
  <c r="O26" i="10"/>
  <c r="Q26" i="10"/>
  <c r="M26" i="10"/>
  <c r="W26" i="10"/>
  <c r="A27" i="10"/>
  <c r="A28" i="10"/>
  <c r="A29" i="10"/>
  <c r="A30" i="10"/>
  <c r="A31" i="10"/>
  <c r="A32" i="10"/>
  <c r="D32" i="10"/>
  <c r="A33" i="10"/>
  <c r="D33" i="10"/>
  <c r="A34" i="10"/>
  <c r="A35" i="10"/>
  <c r="A36" i="10"/>
  <c r="A37" i="10"/>
  <c r="B37" i="10"/>
  <c r="F37" i="10"/>
  <c r="A38" i="10"/>
  <c r="A39" i="10"/>
  <c r="A40" i="10"/>
  <c r="A41" i="10"/>
  <c r="A42" i="10"/>
  <c r="A43" i="10"/>
  <c r="A44" i="10"/>
  <c r="A45" i="10"/>
  <c r="A46" i="10"/>
  <c r="A47" i="10"/>
  <c r="J54" i="10"/>
  <c r="J57" i="10"/>
  <c r="J63" i="10"/>
  <c r="J69" i="10"/>
  <c r="J72" i="10"/>
  <c r="K90" i="10"/>
  <c r="D31" i="10" l="1"/>
  <c r="D29" i="10"/>
  <c r="D28" i="10"/>
  <c r="D27" i="10"/>
  <c r="D34" i="10"/>
  <c r="D47" i="10"/>
  <c r="D46" i="10"/>
  <c r="D45" i="10"/>
  <c r="D44" i="10"/>
  <c r="D43" i="10"/>
  <c r="D42" i="10"/>
  <c r="D41" i="10"/>
  <c r="D40" i="10"/>
  <c r="D39" i="10"/>
  <c r="D38" i="10"/>
  <c r="F44" i="10"/>
  <c r="F47" i="10"/>
  <c r="B39" i="10"/>
  <c r="D36" i="10"/>
  <c r="D35" i="10"/>
  <c r="F27" i="10"/>
  <c r="D30" i="10"/>
  <c r="F41" i="10"/>
  <c r="F42" i="10"/>
  <c r="F39" i="10"/>
  <c r="F40" i="10"/>
  <c r="F45" i="10"/>
  <c r="F46" i="10"/>
  <c r="F43" i="10"/>
  <c r="S26" i="10"/>
  <c r="G27" i="10"/>
  <c r="K70" i="10"/>
  <c r="M93" i="10"/>
  <c r="G47" i="10"/>
  <c r="L70" i="10"/>
  <c r="N93" i="10"/>
  <c r="G41" i="10"/>
  <c r="G43" i="10"/>
  <c r="G45" i="10"/>
  <c r="M70" i="10"/>
  <c r="G39" i="10"/>
  <c r="G38" i="10"/>
  <c r="G40" i="10"/>
  <c r="G42" i="10"/>
  <c r="G44" i="10"/>
  <c r="G46" i="10"/>
  <c r="K93" i="10"/>
  <c r="L93" i="10"/>
  <c r="N70" i="10"/>
  <c r="F38" i="10"/>
  <c r="B36" i="10"/>
  <c r="B35" i="10"/>
  <c r="B34" i="10"/>
  <c r="B32" i="10"/>
  <c r="B30" i="10"/>
  <c r="B28" i="10"/>
  <c r="B27" i="10"/>
  <c r="B47" i="10"/>
  <c r="B46" i="10"/>
  <c r="B45" i="10"/>
  <c r="B33" i="10"/>
  <c r="B44" i="10"/>
  <c r="B43" i="10"/>
  <c r="B42" i="10"/>
  <c r="B38" i="10"/>
  <c r="G36" i="10"/>
  <c r="G35" i="10"/>
  <c r="G34" i="10"/>
  <c r="G33" i="10"/>
  <c r="G32" i="10"/>
  <c r="G31" i="10"/>
  <c r="G30" i="10"/>
  <c r="G29" i="10"/>
  <c r="G28" i="10"/>
  <c r="B31" i="10"/>
  <c r="B29" i="10"/>
  <c r="B41" i="10"/>
  <c r="B40" i="10"/>
  <c r="F36" i="10"/>
  <c r="F35" i="10"/>
  <c r="F34" i="10"/>
  <c r="F33" i="10"/>
  <c r="F32" i="10"/>
  <c r="F31" i="10"/>
  <c r="F30" i="10"/>
  <c r="F29" i="10"/>
  <c r="F28" i="10"/>
  <c r="L26" i="10"/>
  <c r="D13" i="5" l="1"/>
  <c r="D24" i="5"/>
  <c r="D29" i="5" s="1"/>
  <c r="D103" i="5" l="1"/>
  <c r="E103" i="5" s="1"/>
  <c r="F103" i="5" s="1"/>
  <c r="D25" i="5"/>
  <c r="D26" i="5" s="1"/>
  <c r="D27" i="5" s="1"/>
  <c r="D28" i="5" s="1"/>
  <c r="D31" i="5"/>
  <c r="D45" i="5" s="1"/>
  <c r="D48" i="5" s="1"/>
  <c r="D14" i="5"/>
  <c r="D32" i="5" l="1"/>
  <c r="D33" i="5"/>
  <c r="D15" i="5"/>
  <c r="D16" i="5" l="1"/>
  <c r="D35" i="5" s="1"/>
  <c r="D34" i="5"/>
  <c r="D36" i="5" s="1"/>
  <c r="D38" i="5" l="1"/>
  <c r="D40" i="5" l="1"/>
  <c r="D64" i="5" s="1"/>
  <c r="D39" i="5"/>
  <c r="D41" i="5" s="1"/>
  <c r="D50" i="5" s="1"/>
  <c r="D80" i="5" l="1"/>
  <c r="D63" i="5"/>
  <c r="C13" i="12" s="1"/>
  <c r="E92" i="5"/>
  <c r="D73" i="5"/>
  <c r="E39" i="5"/>
  <c r="D49" i="5"/>
  <c r="D74" i="5"/>
  <c r="D78" i="5" s="1"/>
  <c r="G73" i="5" s="1"/>
  <c r="D65" i="5"/>
  <c r="C14" i="12" l="1"/>
  <c r="D68" i="5"/>
  <c r="H73" i="5" s="1"/>
  <c r="G74" i="5"/>
  <c r="D112" i="5"/>
  <c r="E112" i="5" s="1"/>
  <c r="F112" i="5" s="1"/>
  <c r="B9" i="10"/>
  <c r="C37" i="10" s="1"/>
  <c r="C35" i="10" s="1"/>
  <c r="D77" i="5"/>
  <c r="D89" i="5" s="1"/>
  <c r="D76" i="5"/>
  <c r="D70" i="5" l="1"/>
  <c r="H74" i="5"/>
  <c r="C44" i="10"/>
  <c r="C39" i="10"/>
  <c r="C27" i="10"/>
  <c r="C41" i="10"/>
  <c r="C34" i="10"/>
  <c r="C29" i="10"/>
  <c r="C31" i="10"/>
  <c r="C43" i="10"/>
  <c r="C40" i="10"/>
  <c r="C32" i="10"/>
  <c r="C38" i="10"/>
  <c r="C46" i="10"/>
  <c r="C33" i="10"/>
  <c r="C28" i="10"/>
  <c r="C36" i="10"/>
  <c r="C42" i="10"/>
  <c r="C30" i="10"/>
  <c r="C45" i="10"/>
  <c r="C47" i="10"/>
  <c r="D71" i="5"/>
  <c r="D72" i="5" s="1"/>
  <c r="D93" i="5"/>
  <c r="E93" i="5" s="1"/>
  <c r="D92" i="5"/>
  <c r="F92" i="5" s="1"/>
  <c r="D97" i="5"/>
  <c r="D99" i="5" s="1"/>
  <c r="E99" i="5" s="1"/>
  <c r="D83" i="5"/>
  <c r="E83" i="5" s="1"/>
  <c r="F101" i="5"/>
  <c r="D101" i="5"/>
  <c r="D100" i="5"/>
  <c r="E100" i="5" s="1"/>
  <c r="E101" i="5" l="1"/>
  <c r="D102" i="5"/>
  <c r="D85" i="5"/>
  <c r="E85" i="5" s="1"/>
  <c r="D84" i="5"/>
  <c r="E84" i="5" s="1"/>
  <c r="D94" i="5"/>
  <c r="D107" i="5" l="1"/>
  <c r="E94" i="5"/>
  <c r="D86" i="5"/>
  <c r="D106" i="5" s="1"/>
  <c r="E102" i="5"/>
  <c r="F102" i="5" s="1"/>
  <c r="D104" i="5"/>
  <c r="D108" i="5" s="1"/>
  <c r="D109" i="5" l="1"/>
  <c r="E104" i="5"/>
  <c r="D120" i="5" l="1"/>
  <c r="D127" i="5"/>
  <c r="D123" i="5"/>
  <c r="D124" i="5"/>
  <c r="D125" i="5"/>
  <c r="D126" i="5"/>
  <c r="D117" i="5"/>
  <c r="D119" i="5"/>
  <c r="D113" i="5"/>
  <c r="D114" i="5"/>
  <c r="D122" i="5"/>
  <c r="D134" i="5"/>
  <c r="D116" i="5"/>
  <c r="D121" i="5"/>
  <c r="D115" i="5"/>
  <c r="D118" i="5"/>
  <c r="K7" i="10" l="1"/>
  <c r="C15" i="12"/>
  <c r="E113" i="5"/>
  <c r="F113" i="5" s="1"/>
  <c r="D129" i="5"/>
  <c r="D131" i="5"/>
  <c r="E114" i="5" l="1"/>
  <c r="F114" i="5" s="1"/>
  <c r="E115" i="5" l="1"/>
  <c r="F115" i="5" s="1"/>
  <c r="E116" i="5" l="1"/>
  <c r="F116" i="5" s="1"/>
  <c r="E117" i="5" l="1"/>
  <c r="F117" i="5" s="1"/>
  <c r="E118" i="5" l="1"/>
  <c r="F118" i="5" s="1"/>
  <c r="E119" i="5" l="1"/>
  <c r="F119" i="5" s="1"/>
  <c r="E120" i="5" l="1"/>
  <c r="F120" i="5" s="1"/>
  <c r="E121" i="5" l="1"/>
  <c r="F121" i="5" s="1"/>
  <c r="E122" i="5" l="1"/>
  <c r="F122" i="5" s="1"/>
  <c r="E123" i="5" l="1"/>
  <c r="F123" i="5" s="1"/>
  <c r="E124" i="5" l="1"/>
  <c r="F124" i="5" s="1"/>
  <c r="E125" i="5" l="1"/>
  <c r="F125" i="5" s="1"/>
  <c r="E126" i="5" l="1"/>
  <c r="F126" i="5" s="1"/>
  <c r="E127" i="5" l="1"/>
  <c r="F127" i="5" s="1"/>
</calcChain>
</file>

<file path=xl/comments1.xml><?xml version="1.0" encoding="utf-8"?>
<comments xmlns="http://schemas.openxmlformats.org/spreadsheetml/2006/main">
  <authors>
    <author>Scott, Jim</author>
    <author>Jim Scott</author>
  </authors>
  <commentList>
    <comment ref="A6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Assumed these are housed indoors</t>
        </r>
      </text>
    </comment>
    <comment ref="C8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Hide this cell</t>
        </r>
      </text>
    </comment>
  </commentList>
</comments>
</file>

<file path=xl/comments2.xml><?xml version="1.0" encoding="utf-8"?>
<comments xmlns="http://schemas.openxmlformats.org/spreadsheetml/2006/main">
  <authors>
    <author>Scott, Jim</author>
    <author>Jim Scott</author>
    <author>Dan</author>
  </authors>
  <commentList>
    <comment ref="E39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Heat to Power ratio</t>
        </r>
      </text>
    </comment>
    <comment ref="D40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Factored in parasitic energy requirement of the AD plant</t>
        </r>
      </text>
    </comment>
    <comment ref="D50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Had to fudge this to prevent the RHI becoming a negative (cost). This is not changing dynamically with AD size. Therefore at small scales it indicates that additional outside heat is required</t>
        </r>
      </text>
    </comment>
    <comment ref="D63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Used a logarithmetc fit from MW figures for the equation here for now. Can improve with more granular CAPEX data</t>
        </r>
      </text>
    </comment>
    <comment ref="D84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Set an IF statement to prevent this modelling imported electricity costs</t>
        </r>
      </text>
    </comment>
    <comment ref="D92" authorId="2">
      <text>
        <r>
          <rPr>
            <b/>
            <sz val="9"/>
            <color indexed="81"/>
            <rFont val="Tahoma"/>
            <family val="2"/>
          </rPr>
          <t>Dan:</t>
        </r>
        <r>
          <rPr>
            <sz val="9"/>
            <color indexed="81"/>
            <rFont val="Tahoma"/>
            <family val="2"/>
          </rPr>
          <t xml:space="preserve">
Check</t>
        </r>
      </text>
    </comment>
  </commentList>
</comments>
</file>

<file path=xl/comments3.xml><?xml version="1.0" encoding="utf-8"?>
<comments xmlns="http://schemas.openxmlformats.org/spreadsheetml/2006/main">
  <authors>
    <author>Scott, Jim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Don’t put any data anywhere else</t>
        </r>
      </text>
    </comment>
  </commentList>
</comments>
</file>

<file path=xl/sharedStrings.xml><?xml version="1.0" encoding="utf-8"?>
<sst xmlns="http://schemas.openxmlformats.org/spreadsheetml/2006/main" count="388" uniqueCount="256">
  <si>
    <t>Annual Energy Crop Cost</t>
  </si>
  <si>
    <t>Slurry Production per Cow</t>
  </si>
  <si>
    <t>No.</t>
  </si>
  <si>
    <t>%ODM</t>
  </si>
  <si>
    <t>m3/tonne ODM</t>
  </si>
  <si>
    <t>m3/day</t>
  </si>
  <si>
    <t>tonne/day</t>
  </si>
  <si>
    <t>ha</t>
  </si>
  <si>
    <t>tonne/ha/yr</t>
  </si>
  <si>
    <t>tonne/d</t>
  </si>
  <si>
    <t>Total Mass</t>
  </si>
  <si>
    <t>Total Dry Matter</t>
  </si>
  <si>
    <t>Total Organic Dry Matter</t>
  </si>
  <si>
    <t>Total Methane Production</t>
  </si>
  <si>
    <t>%</t>
  </si>
  <si>
    <t>Total Biogas Production</t>
  </si>
  <si>
    <t>Energy Value of Biogas</t>
  </si>
  <si>
    <t>kWth</t>
  </si>
  <si>
    <t>Temperature of Feedstock</t>
  </si>
  <si>
    <t>Temperature of Digester</t>
  </si>
  <si>
    <t>deg.C</t>
  </si>
  <si>
    <t>Heat Input to Feedstock</t>
  </si>
  <si>
    <t>Air Temperature</t>
  </si>
  <si>
    <t>Heat Loss from Digester</t>
  </si>
  <si>
    <t>Total Digester Heat Input</t>
  </si>
  <si>
    <t>Parasitic Heat %</t>
  </si>
  <si>
    <t>Available Heat</t>
  </si>
  <si>
    <t>£</t>
  </si>
  <si>
    <t>£/yr</t>
  </si>
  <si>
    <t>hr/yr</t>
  </si>
  <si>
    <t>Electrical Efficiency of CHP</t>
  </si>
  <si>
    <t>Thermal Efficiency of CHP</t>
  </si>
  <si>
    <t>Thermal Output of CHP</t>
  </si>
  <si>
    <t>kWe</t>
  </si>
  <si>
    <t>% Dry Matter</t>
  </si>
  <si>
    <t>% Organic Dry Matter</t>
  </si>
  <si>
    <t>Biogas % Methane</t>
  </si>
  <si>
    <t>Dry Matter</t>
  </si>
  <si>
    <t>Organic Dry Matter</t>
  </si>
  <si>
    <t>Methane Production</t>
  </si>
  <si>
    <t>Biogas Production</t>
  </si>
  <si>
    <t>kg/hd/day</t>
  </si>
  <si>
    <t>Mass</t>
  </si>
  <si>
    <t>Crop Yield</t>
  </si>
  <si>
    <t>Cost of Energy Crop</t>
  </si>
  <si>
    <t>£/tonne</t>
  </si>
  <si>
    <t>£/year</t>
  </si>
  <si>
    <t>Operator Rate</t>
  </si>
  <si>
    <t>£/hr</t>
  </si>
  <si>
    <t>Operator Cost</t>
  </si>
  <si>
    <t>IRR - %</t>
  </si>
  <si>
    <t>Scenario</t>
  </si>
  <si>
    <t>Revenue Cost</t>
  </si>
  <si>
    <t>Capital Cost</t>
  </si>
  <si>
    <t>Electricity Production</t>
  </si>
  <si>
    <t>Maintenance (Digester)</t>
  </si>
  <si>
    <t>Maintenance (CHP)</t>
  </si>
  <si>
    <t>ECONOMICS</t>
  </si>
  <si>
    <t>Generation Tariff</t>
  </si>
  <si>
    <t>Export Tariff</t>
  </si>
  <si>
    <t>Value of Displaced Electricity</t>
  </si>
  <si>
    <t>Income from Generation Tariff</t>
  </si>
  <si>
    <t>Income from Export Tariff</t>
  </si>
  <si>
    <t>Electricity Exported</t>
  </si>
  <si>
    <t>Electricity Displaced</t>
  </si>
  <si>
    <t>Total Value of Electricity</t>
  </si>
  <si>
    <t>Net Revenue Benefit</t>
  </si>
  <si>
    <t>Area of Maize Silage</t>
  </si>
  <si>
    <t>Operator Man Hours</t>
  </si>
  <si>
    <t>Total Revenue Costs</t>
  </si>
  <si>
    <t>CHP Electricity Output</t>
  </si>
  <si>
    <t>CHP Availability</t>
  </si>
  <si>
    <t>kWh/yr</t>
  </si>
  <si>
    <t>10-Year Cash Flow</t>
  </si>
  <si>
    <t>Biological methane potential (BMP)</t>
  </si>
  <si>
    <t>Livestock wastes</t>
  </si>
  <si>
    <t>Crop Feedstock</t>
  </si>
  <si>
    <t>Livestock wastes + crops</t>
  </si>
  <si>
    <t>Electrics and Thermal</t>
  </si>
  <si>
    <t>Digester</t>
  </si>
  <si>
    <t>AD Data Sheet</t>
  </si>
  <si>
    <t>CAPEX</t>
  </si>
  <si>
    <t>ENERGY OUTPUT</t>
  </si>
  <si>
    <t>RETURNS</t>
  </si>
  <si>
    <t>p/kWh</t>
  </si>
  <si>
    <t>Simple Payback period</t>
  </si>
  <si>
    <t>Target payback period</t>
  </si>
  <si>
    <t>red depicts less than the base case and blue more</t>
  </si>
  <si>
    <t>SPB</t>
  </si>
  <si>
    <t>Change (abs.) £,000/pa</t>
  </si>
  <si>
    <t>O&amp;M Cost</t>
  </si>
  <si>
    <t>Change (abs.) £,000s</t>
  </si>
  <si>
    <t>Reciprocating Gas Engine CAPEX</t>
  </si>
  <si>
    <t>Digester CAPEX</t>
  </si>
  <si>
    <t xml:space="preserve">Change (abs.) </t>
  </si>
  <si>
    <t>Engine Electrical Efficiency</t>
  </si>
  <si>
    <t>Change (abs.) p/kWh</t>
  </si>
  <si>
    <t>Electricity price</t>
  </si>
  <si>
    <t>Change (abs.) £/t</t>
  </si>
  <si>
    <t>Sludge Cost</t>
  </si>
  <si>
    <t>Change (abs.) kt/pa</t>
  </si>
  <si>
    <t>Sludge Availability</t>
  </si>
  <si>
    <t>Variable</t>
  </si>
  <si>
    <t>Heat Take-off (%)</t>
  </si>
  <si>
    <t>ROC Price (£/kWhe)</t>
  </si>
  <si>
    <t>Heat Price (£/kWhth)</t>
  </si>
  <si>
    <t>Electricity Price (£/kWhe)</t>
  </si>
  <si>
    <t>Glycerol Price (£/t)</t>
  </si>
  <si>
    <t>Biomass Price (£/t)</t>
  </si>
  <si>
    <t>Pyro-BAF Oil Energy Content (kWh/kg)</t>
  </si>
  <si>
    <t>Pyro-BAF Operating Hours (hrs/pa)</t>
  </si>
  <si>
    <t>Payback years</t>
  </si>
  <si>
    <t>Sensitivity Tables</t>
  </si>
  <si>
    <t>Payback (relative)</t>
  </si>
  <si>
    <t>Payback (yrs)</t>
  </si>
  <si>
    <t>Relative</t>
  </si>
  <si>
    <t>not SA</t>
  </si>
  <si>
    <t>Variable change</t>
  </si>
  <si>
    <t>± Sensitivity range</t>
  </si>
  <si>
    <t>SA Settings</t>
  </si>
  <si>
    <t>replace with rule</t>
  </si>
  <si>
    <t>£000s</t>
  </si>
  <si>
    <t>Electricity Price</t>
  </si>
  <si>
    <t>£/t</t>
  </si>
  <si>
    <t>UOM</t>
  </si>
  <si>
    <t>Value</t>
  </si>
  <si>
    <t>SA Variables</t>
  </si>
  <si>
    <t>Note: ensure that the SA values are the same as on the financial inputs sheet</t>
  </si>
  <si>
    <t>t/ha/yr</t>
  </si>
  <si>
    <t>Original values</t>
  </si>
  <si>
    <t>Anaerobic digestion</t>
  </si>
  <si>
    <t>http://www.fitariffs.co.uk/eligible/levels/</t>
  </si>
  <si>
    <t>Data Input</t>
  </si>
  <si>
    <t>NPV Rate</t>
  </si>
  <si>
    <t>NPV</t>
  </si>
  <si>
    <t>Operating Costs</t>
  </si>
  <si>
    <t>Electricity Value</t>
  </si>
  <si>
    <t>Heat value</t>
  </si>
  <si>
    <t>Heat generated</t>
  </si>
  <si>
    <t>Displaced heating fuel tarif</t>
  </si>
  <si>
    <t>Total value of heat</t>
  </si>
  <si>
    <t>Renewable Heat Incentive (RHI)</t>
  </si>
  <si>
    <t>Thresholds</t>
  </si>
  <si>
    <t>kW(Thermal capacity)</t>
  </si>
  <si>
    <t>Tariff 1 (upto 1314)</t>
  </si>
  <si>
    <t>Tariff 2 (remainder of the year)</t>
  </si>
  <si>
    <t>Biogas injection</t>
  </si>
  <si>
    <t>Biogas combustion</t>
  </si>
  <si>
    <t>&lt;</t>
  </si>
  <si>
    <t>Biomass combustion</t>
  </si>
  <si>
    <t>Bomass combustion</t>
  </si>
  <si>
    <t>&gt;</t>
  </si>
  <si>
    <t>Annual operating hours</t>
  </si>
  <si>
    <t>hrs/yr</t>
  </si>
  <si>
    <t>RHI Tariff 1 Hours</t>
  </si>
  <si>
    <t>RHI Tariff 2 Hours</t>
  </si>
  <si>
    <t>Results sheet</t>
  </si>
  <si>
    <t>Summary of results for different numbers of cows and ha of maize</t>
  </si>
  <si>
    <t>Cows</t>
  </si>
  <si>
    <t>Current payback</t>
  </si>
  <si>
    <t>Simple Payback</t>
  </si>
  <si>
    <t>years</t>
  </si>
  <si>
    <t>Number of zero-grazed dairy cows</t>
  </si>
  <si>
    <t>Number of summer grazed dairy cows</t>
  </si>
  <si>
    <t>Heat Price</t>
  </si>
  <si>
    <t>Current farm electricty bill</t>
  </si>
  <si>
    <t>On-farm electricity demand</t>
  </si>
  <si>
    <t>RHI Payments</t>
  </si>
  <si>
    <t>Displaced heating costs</t>
  </si>
  <si>
    <t>Heat delivered to farm</t>
  </si>
  <si>
    <t>On-farm heat demand</t>
  </si>
  <si>
    <t>Percentage of heat used onsite</t>
  </si>
  <si>
    <t>Heat dumped</t>
  </si>
  <si>
    <t>Heat available after parasitic heat load</t>
  </si>
  <si>
    <t>Total Value of Heat</t>
  </si>
  <si>
    <t>On-farm heating bill to be displaced</t>
  </si>
  <si>
    <t>Maintenance and operation</t>
  </si>
  <si>
    <t>Cost of arable crop</t>
  </si>
  <si>
    <t>t/ha</t>
  </si>
  <si>
    <t>Heating fuel unit price</t>
  </si>
  <si>
    <t>Electricity unit price</t>
  </si>
  <si>
    <t>Capital Investment</t>
  </si>
  <si>
    <t>grasslaond</t>
  </si>
  <si>
    <t>wheat</t>
  </si>
  <si>
    <t xml:space="preserve">maize </t>
  </si>
  <si>
    <t>Pie chart overview - shows a pie diagram " how is that going to continue in the future"</t>
  </si>
  <si>
    <t>1) a better starting point could be populating their farms (MW produce a one pager)</t>
  </si>
  <si>
    <t>JS to produce your farm page</t>
  </si>
  <si>
    <t>Get mike's one pager sheet</t>
  </si>
  <si>
    <t>2) pre-prepared scenario - likes case study to this sheet (observations)</t>
  </si>
  <si>
    <t>looks good or not good (maybe have one or two scenarios)</t>
  </si>
  <si>
    <t>3) try to get farm data and then this populates their live case</t>
  </si>
  <si>
    <t>(sheet opens up with a farm pie-chart</t>
  </si>
  <si>
    <t>Make SA chart absolute</t>
  </si>
  <si>
    <t>Annotate Sa chart</t>
  </si>
  <si>
    <t>Use sensitivity table rather than graph</t>
  </si>
  <si>
    <t>Alows for larger percentage changes in SA</t>
  </si>
  <si>
    <t>Energy indi[endence and export/displaced ratio pie chart</t>
  </si>
  <si>
    <t>Livestock</t>
  </si>
  <si>
    <t>Crops</t>
  </si>
  <si>
    <t>Maize</t>
  </si>
  <si>
    <t>Wheat</t>
  </si>
  <si>
    <t>Available for AD plant</t>
  </si>
  <si>
    <t>£,000's</t>
  </si>
  <si>
    <t>Cashflow</t>
  </si>
  <si>
    <t>Electrical capacity</t>
  </si>
  <si>
    <t>Poultry</t>
  </si>
  <si>
    <t>Barley</t>
  </si>
  <si>
    <t>Oil seed rape</t>
  </si>
  <si>
    <t>Fruit</t>
  </si>
  <si>
    <t>Other break crops</t>
  </si>
  <si>
    <t>Potatoes</t>
  </si>
  <si>
    <t>Field vegitables</t>
  </si>
  <si>
    <t>Glasshouses/polytunnels</t>
  </si>
  <si>
    <t>Woodland</t>
  </si>
  <si>
    <t>Leys</t>
  </si>
  <si>
    <t>Permanent pasture</t>
  </si>
  <si>
    <t>Exported electricity value</t>
  </si>
  <si>
    <t>Percentage of generated electricity used onsite</t>
  </si>
  <si>
    <t>Electrical Output of CHP including parasitic losses</t>
  </si>
  <si>
    <t>Heat</t>
  </si>
  <si>
    <t>Electricity</t>
  </si>
  <si>
    <t>Imported energy</t>
  </si>
  <si>
    <t>Self-generated energy</t>
  </si>
  <si>
    <t>Situation variables</t>
  </si>
  <si>
    <t>Chciken litter</t>
  </si>
  <si>
    <t>Cow manure with food waste</t>
  </si>
  <si>
    <t>Horse manure</t>
  </si>
  <si>
    <t>Pig manure</t>
  </si>
  <si>
    <t>Beef cattlte</t>
  </si>
  <si>
    <t>(FM)</t>
  </si>
  <si>
    <t>Vol.-%</t>
  </si>
  <si>
    <t>t FM ⁄ a</t>
  </si>
  <si>
    <t>Gew.-%</t>
  </si>
  <si>
    <t>€ ⁄ t FM</t>
  </si>
  <si>
    <t>€ ⁄ a</t>
  </si>
  <si>
    <t>Substrate cost</t>
  </si>
  <si>
    <t>Substrate unit price</t>
  </si>
  <si>
    <t>Annual quanitiy</t>
  </si>
  <si>
    <t>Methane content of biogas</t>
  </si>
  <si>
    <t>Guideline biogas yield</t>
  </si>
  <si>
    <t>Dry matter content (DM)</t>
  </si>
  <si>
    <t>Fresh mass</t>
  </si>
  <si>
    <t>Of which is organic</t>
  </si>
  <si>
    <t>m3 ⁄ t</t>
  </si>
  <si>
    <t>ln ⁄ kg oDM</t>
  </si>
  <si>
    <t>% DM</t>
  </si>
  <si>
    <t>Maiz silage</t>
  </si>
  <si>
    <t>Forage hey</t>
  </si>
  <si>
    <t>Zero grazed dairy cows</t>
  </si>
  <si>
    <t>Summer grazed dairy cows</t>
  </si>
  <si>
    <t>Payback period</t>
  </si>
  <si>
    <t>Crop cost</t>
  </si>
  <si>
    <t>Heating fuel price</t>
  </si>
  <si>
    <t>Percentage change</t>
  </si>
  <si>
    <t>Percentage of the year indoors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</si>
</sst>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£&quot;#,##0;[Red]\-&quot;£&quot;#,##0"/>
    <numFmt numFmtId="8" formatCode="&quot;£&quot;#,##0.00;[Red]\-&quot;£&quot;#,##0.0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"/>
    <numFmt numFmtId="165" formatCode="_-[$€-2]\ * #,##0.00_-;\-[$€-2]\ * #,##0.00_-;_-[$€-2]\ * &quot;-&quot;??_-;_-@_-"/>
    <numFmt numFmtId="166" formatCode="&quot;£&quot;#,##0.000&quot;/kWh&quot;;[Red]\-&quot;£&quot;#,##0.000&quot;/kWh&quot;"/>
    <numFmt numFmtId="167" formatCode="_-&quot;£&quot;* #,##0_-;\-&quot;£&quot;* #,##0_-;_-&quot;£&quot;* &quot;-&quot;??_-;_-@_-"/>
    <numFmt numFmtId="168" formatCode="#,##0.000"/>
    <numFmt numFmtId="169" formatCode="#,##0.0000"/>
    <numFmt numFmtId="170" formatCode="0.0"/>
    <numFmt numFmtId="171" formatCode="&quot;£&quot;#,##0\ &quot;k&quot;;[Red]\-&quot;£&quot;#,##0\ &quot;k&quot;"/>
    <numFmt numFmtId="172" formatCode="0.0000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1F497D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b/>
      <sz val="9"/>
      <color rgb="FFFFFFFF"/>
      <name val="Arial"/>
      <family val="2"/>
    </font>
    <font>
      <sz val="9"/>
      <color rgb="FF555555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20"/>
      <name val="Calibri"/>
      <family val="2"/>
      <scheme val="minor"/>
    </font>
    <font>
      <b/>
      <sz val="20"/>
      <name val="Arial"/>
      <family val="2"/>
    </font>
    <font>
      <sz val="28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8"/>
      <color rgb="FF000000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8"/>
      <name val="Arial"/>
      <family val="2"/>
    </font>
    <font>
      <sz val="18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8386"/>
        <bgColor indexed="64"/>
      </patternFill>
    </fill>
    <fill>
      <patternFill patternType="solid">
        <fgColor rgb="FFB5BEDB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95B3D7"/>
      </bottom>
      <diagonal/>
    </border>
    <border>
      <left/>
      <right/>
      <top/>
      <bottom style="medium">
        <color rgb="FF95B3D7"/>
      </bottom>
      <diagonal/>
    </border>
    <border>
      <left style="medium">
        <color indexed="64"/>
      </left>
      <right/>
      <top/>
      <bottom style="medium">
        <color rgb="FF95B3D7"/>
      </bottom>
      <diagonal/>
    </border>
    <border>
      <left/>
      <right style="medium">
        <color indexed="64"/>
      </right>
      <top style="medium">
        <color indexed="64"/>
      </top>
      <bottom style="medium">
        <color rgb="FF95B3D7"/>
      </bottom>
      <diagonal/>
    </border>
    <border>
      <left/>
      <right/>
      <top style="medium">
        <color indexed="64"/>
      </top>
      <bottom style="medium">
        <color rgb="FF95B3D7"/>
      </bottom>
      <diagonal/>
    </border>
    <border>
      <left style="medium">
        <color indexed="64"/>
      </left>
      <right/>
      <top style="medium">
        <color indexed="64"/>
      </top>
      <bottom style="medium">
        <color rgb="FF95B3D7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ck">
        <color theme="3" tint="0.39997558519241921"/>
      </left>
      <right/>
      <top style="thick">
        <color theme="3" tint="0.39997558519241921"/>
      </top>
      <bottom/>
      <diagonal/>
    </border>
    <border>
      <left/>
      <right/>
      <top style="thick">
        <color theme="3" tint="0.39997558519241921"/>
      </top>
      <bottom/>
      <diagonal/>
    </border>
    <border>
      <left/>
      <right style="thick">
        <color theme="3" tint="0.39997558519241921"/>
      </right>
      <top style="thick">
        <color theme="3" tint="0.39997558519241921"/>
      </top>
      <bottom/>
      <diagonal/>
    </border>
    <border>
      <left style="thick">
        <color theme="3" tint="0.39997558519241921"/>
      </left>
      <right/>
      <top/>
      <bottom/>
      <diagonal/>
    </border>
    <border>
      <left/>
      <right style="thick">
        <color theme="3" tint="0.39997558519241921"/>
      </right>
      <top/>
      <bottom/>
      <diagonal/>
    </border>
    <border>
      <left style="thick">
        <color theme="3" tint="0.39997558519241921"/>
      </left>
      <right/>
      <top/>
      <bottom style="thick">
        <color theme="3" tint="0.39997558519241921"/>
      </bottom>
      <diagonal/>
    </border>
    <border>
      <left/>
      <right/>
      <top/>
      <bottom style="thick">
        <color theme="3" tint="0.39997558519241921"/>
      </bottom>
      <diagonal/>
    </border>
    <border>
      <left/>
      <right style="thick">
        <color theme="3" tint="0.39997558519241921"/>
      </right>
      <top/>
      <bottom style="thick">
        <color theme="3" tint="0.3999755851924192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/>
      <top/>
      <bottom style="thin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 style="thick">
        <color theme="4"/>
      </top>
      <bottom style="thin">
        <color theme="4"/>
      </bottom>
      <diagonal/>
    </border>
    <border>
      <left/>
      <right style="thick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/>
      <bottom style="thick">
        <color theme="4"/>
      </bottom>
      <diagonal/>
    </border>
    <border>
      <left/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</borders>
  <cellStyleXfs count="92">
    <xf numFmtId="0" fontId="0" fillId="0" borderId="0"/>
    <xf numFmtId="0" fontId="12" fillId="5" borderId="3" applyNumberFormat="0" applyAlignment="0" applyProtection="0"/>
    <xf numFmtId="0" fontId="3" fillId="0" borderId="0"/>
    <xf numFmtId="165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9" fillId="0" borderId="0"/>
    <xf numFmtId="165" fontId="10" fillId="0" borderId="2" applyNumberFormat="0" applyFill="0" applyAlignment="0" applyProtection="0"/>
    <xf numFmtId="165" fontId="12" fillId="5" borderId="3" applyNumberFormat="0" applyAlignment="0" applyProtection="0"/>
    <xf numFmtId="165" fontId="9" fillId="0" borderId="0"/>
    <xf numFmtId="165" fontId="13" fillId="6" borderId="3" applyNumberFormat="0" applyAlignment="0" applyProtection="0"/>
    <xf numFmtId="165" fontId="11" fillId="4" borderId="0" applyNumberFormat="0" applyBorder="0" applyAlignment="0" applyProtection="0"/>
    <xf numFmtId="165" fontId="14" fillId="7" borderId="4" applyNumberFormat="0" applyAlignment="0" applyProtection="0"/>
    <xf numFmtId="43" fontId="27" fillId="0" borderId="0" applyFont="0" applyFill="0" applyBorder="0" applyAlignment="0" applyProtection="0"/>
    <xf numFmtId="165" fontId="10" fillId="0" borderId="0" applyNumberFormat="0" applyFill="0" applyBorder="0" applyAlignment="0" applyProtection="0"/>
    <xf numFmtId="165" fontId="28" fillId="0" borderId="0" applyNumberFormat="0" applyFill="0" applyBorder="0" applyAlignment="0" applyProtection="0">
      <alignment vertical="top"/>
      <protection locked="0"/>
    </xf>
    <xf numFmtId="165" fontId="3" fillId="0" borderId="0"/>
    <xf numFmtId="165" fontId="3" fillId="0" borderId="0"/>
    <xf numFmtId="165" fontId="3" fillId="0" borderId="0"/>
    <xf numFmtId="165" fontId="9" fillId="0" borderId="0"/>
    <xf numFmtId="165" fontId="9" fillId="0" borderId="0"/>
    <xf numFmtId="165" fontId="9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3" fillId="0" borderId="0"/>
    <xf numFmtId="165" fontId="3" fillId="0" borderId="0"/>
    <xf numFmtId="165" fontId="9" fillId="0" borderId="0"/>
    <xf numFmtId="165" fontId="3" fillId="0" borderId="0"/>
    <xf numFmtId="165" fontId="9" fillId="0" borderId="0"/>
    <xf numFmtId="165" fontId="3" fillId="0" borderId="0"/>
    <xf numFmtId="165" fontId="3" fillId="0" borderId="0"/>
    <xf numFmtId="9" fontId="9" fillId="0" borderId="0" applyFont="0" applyFill="0" applyBorder="0" applyAlignment="0" applyProtection="0"/>
    <xf numFmtId="165" fontId="16" fillId="0" borderId="5" applyNumberFormat="0" applyFill="0" applyAlignment="0" applyProtection="0"/>
    <xf numFmtId="0" fontId="28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8" fillId="0" borderId="22" applyNumberFormat="0" applyFill="0" applyAlignment="0" applyProtection="0"/>
    <xf numFmtId="43" fontId="44" fillId="0" borderId="0" applyFont="0" applyFill="0" applyBorder="0" applyAlignment="0" applyProtection="0"/>
  </cellStyleXfs>
  <cellXfs count="204">
    <xf numFmtId="0" fontId="0" fillId="0" borderId="0" xfId="0"/>
    <xf numFmtId="3" fontId="5" fillId="0" borderId="0" xfId="0" applyNumberFormat="1" applyFont="1"/>
    <xf numFmtId="3" fontId="6" fillId="0" borderId="0" xfId="0" applyNumberFormat="1" applyFont="1"/>
    <xf numFmtId="3" fontId="5" fillId="0" borderId="0" xfId="0" applyNumberFormat="1" applyFont="1" applyBorder="1"/>
    <xf numFmtId="3" fontId="6" fillId="0" borderId="0" xfId="0" applyNumberFormat="1" applyFont="1" applyBorder="1"/>
    <xf numFmtId="3" fontId="5" fillId="2" borderId="0" xfId="0" applyNumberFormat="1" applyFont="1" applyFill="1"/>
    <xf numFmtId="3" fontId="5" fillId="0" borderId="1" xfId="0" applyNumberFormat="1" applyFont="1" applyBorder="1"/>
    <xf numFmtId="3" fontId="6" fillId="0" borderId="1" xfId="0" applyNumberFormat="1" applyFont="1" applyBorder="1"/>
    <xf numFmtId="3" fontId="5" fillId="3" borderId="1" xfId="0" applyNumberFormat="1" applyFont="1" applyFill="1" applyBorder="1"/>
    <xf numFmtId="3" fontId="6" fillId="3" borderId="1" xfId="0" applyNumberFormat="1" applyFont="1" applyFill="1" applyBorder="1"/>
    <xf numFmtId="164" fontId="6" fillId="0" borderId="1" xfId="0" applyNumberFormat="1" applyFont="1" applyBorder="1"/>
    <xf numFmtId="164" fontId="5" fillId="0" borderId="1" xfId="0" applyNumberFormat="1" applyFont="1" applyBorder="1"/>
    <xf numFmtId="0" fontId="5" fillId="0" borderId="1" xfId="0" applyFont="1" applyBorder="1"/>
    <xf numFmtId="3" fontId="5" fillId="2" borderId="0" xfId="0" applyNumberFormat="1" applyFont="1" applyFill="1" applyBorder="1"/>
    <xf numFmtId="3" fontId="5" fillId="2" borderId="0" xfId="0" applyNumberFormat="1" applyFont="1" applyFill="1" applyBorder="1" applyAlignment="1">
      <alignment horizontal="right"/>
    </xf>
    <xf numFmtId="3" fontId="5" fillId="3" borderId="0" xfId="0" applyNumberFormat="1" applyFont="1" applyFill="1" applyBorder="1"/>
    <xf numFmtId="4" fontId="6" fillId="0" borderId="0" xfId="0" applyNumberFormat="1" applyFont="1" applyBorder="1"/>
    <xf numFmtId="0" fontId="3" fillId="0" borderId="0" xfId="2"/>
    <xf numFmtId="0" fontId="17" fillId="0" borderId="6" xfId="2" applyFont="1" applyFill="1" applyBorder="1" applyAlignment="1">
      <alignment vertical="center"/>
    </xf>
    <xf numFmtId="2" fontId="18" fillId="0" borderId="7" xfId="3" applyNumberFormat="1" applyFont="1" applyBorder="1"/>
    <xf numFmtId="2" fontId="18" fillId="0" borderId="8" xfId="3" applyNumberFormat="1" applyFont="1" applyBorder="1"/>
    <xf numFmtId="0" fontId="19" fillId="0" borderId="9" xfId="2" applyFont="1" applyBorder="1" applyAlignment="1">
      <alignment horizontal="right" vertical="center"/>
    </xf>
    <xf numFmtId="0" fontId="20" fillId="0" borderId="10" xfId="2" applyNumberFormat="1" applyFont="1" applyBorder="1" applyAlignment="1">
      <alignment vertical="center"/>
    </xf>
    <xf numFmtId="0" fontId="20" fillId="0" borderId="0" xfId="2" applyNumberFormat="1" applyFont="1" applyBorder="1" applyAlignment="1">
      <alignment vertical="center"/>
    </xf>
    <xf numFmtId="2" fontId="15" fillId="0" borderId="0" xfId="4" applyNumberFormat="1" applyFont="1" applyBorder="1"/>
    <xf numFmtId="0" fontId="17" fillId="0" borderId="6" xfId="2" applyFont="1" applyBorder="1" applyAlignment="1">
      <alignment vertical="center"/>
    </xf>
    <xf numFmtId="9" fontId="20" fillId="8" borderId="10" xfId="2" applyNumberFormat="1" applyFont="1" applyFill="1" applyBorder="1" applyAlignment="1">
      <alignment vertical="center"/>
    </xf>
    <xf numFmtId="9" fontId="20" fillId="8" borderId="0" xfId="2" applyNumberFormat="1" applyFont="1" applyFill="1" applyBorder="1" applyAlignment="1">
      <alignment vertical="center"/>
    </xf>
    <xf numFmtId="9" fontId="21" fillId="8" borderId="0" xfId="2" applyNumberFormat="1" applyFont="1" applyFill="1" applyBorder="1" applyAlignment="1">
      <alignment vertical="center" wrapText="1"/>
    </xf>
    <xf numFmtId="9" fontId="21" fillId="8" borderId="0" xfId="2" applyNumberFormat="1" applyFont="1" applyFill="1" applyBorder="1" applyAlignment="1">
      <alignment vertical="center"/>
    </xf>
    <xf numFmtId="165" fontId="19" fillId="8" borderId="6" xfId="2" applyNumberFormat="1" applyFont="1" applyFill="1" applyBorder="1" applyAlignment="1">
      <alignment vertical="center"/>
    </xf>
    <xf numFmtId="2" fontId="18" fillId="0" borderId="10" xfId="3" applyNumberFormat="1" applyFont="1" applyBorder="1"/>
    <xf numFmtId="2" fontId="18" fillId="0" borderId="0" xfId="3" applyNumberFormat="1" applyFont="1" applyBorder="1"/>
    <xf numFmtId="0" fontId="19" fillId="0" borderId="6" xfId="2" applyFont="1" applyBorder="1" applyAlignment="1">
      <alignment horizontal="right" vertical="center"/>
    </xf>
    <xf numFmtId="165" fontId="16" fillId="8" borderId="6" xfId="2" applyNumberFormat="1" applyFont="1" applyFill="1" applyBorder="1"/>
    <xf numFmtId="0" fontId="21" fillId="0" borderId="0" xfId="2" applyNumberFormat="1" applyFont="1" applyBorder="1" applyAlignment="1">
      <alignment vertical="center" wrapText="1"/>
    </xf>
    <xf numFmtId="0" fontId="21" fillId="0" borderId="0" xfId="2" applyNumberFormat="1" applyFont="1" applyBorder="1" applyAlignment="1">
      <alignment vertical="center"/>
    </xf>
    <xf numFmtId="9" fontId="20" fillId="0" borderId="10" xfId="5" applyFont="1" applyBorder="1" applyAlignment="1">
      <alignment vertical="center"/>
    </xf>
    <xf numFmtId="9" fontId="20" fillId="0" borderId="0" xfId="5" applyFont="1" applyBorder="1" applyAlignment="1">
      <alignment vertical="center"/>
    </xf>
    <xf numFmtId="9" fontId="21" fillId="0" borderId="0" xfId="5" applyFont="1" applyBorder="1"/>
    <xf numFmtId="9" fontId="20" fillId="8" borderId="0" xfId="2" applyNumberFormat="1" applyFont="1" applyFill="1" applyBorder="1" applyAlignment="1">
      <alignment vertical="center" wrapText="1"/>
    </xf>
    <xf numFmtId="165" fontId="18" fillId="8" borderId="6" xfId="2" applyNumberFormat="1" applyFont="1" applyFill="1" applyBorder="1"/>
    <xf numFmtId="2" fontId="19" fillId="0" borderId="10" xfId="2" applyNumberFormat="1" applyFont="1" applyBorder="1" applyAlignment="1">
      <alignment horizontal="right" vertical="center"/>
    </xf>
    <xf numFmtId="2" fontId="19" fillId="0" borderId="0" xfId="2" applyNumberFormat="1" applyFont="1" applyBorder="1" applyAlignment="1">
      <alignment horizontal="right" vertical="center"/>
    </xf>
    <xf numFmtId="0" fontId="21" fillId="0" borderId="0" xfId="2" applyFont="1" applyBorder="1"/>
    <xf numFmtId="0" fontId="18" fillId="8" borderId="6" xfId="2" applyFont="1" applyFill="1" applyBorder="1"/>
    <xf numFmtId="0" fontId="21" fillId="0" borderId="10" xfId="2" applyNumberFormat="1" applyFont="1" applyBorder="1" applyAlignment="1">
      <alignment vertical="center"/>
    </xf>
    <xf numFmtId="0" fontId="19" fillId="8" borderId="6" xfId="2" applyFont="1" applyFill="1" applyBorder="1" applyAlignment="1">
      <alignment vertical="center"/>
    </xf>
    <xf numFmtId="0" fontId="20" fillId="0" borderId="0" xfId="2" applyNumberFormat="1" applyFont="1" applyBorder="1" applyAlignment="1">
      <alignment vertical="center" wrapText="1"/>
    </xf>
    <xf numFmtId="9" fontId="20" fillId="0" borderId="11" xfId="2" applyNumberFormat="1" applyFont="1" applyBorder="1" applyAlignment="1">
      <alignment vertical="center"/>
    </xf>
    <xf numFmtId="9" fontId="20" fillId="0" borderId="12" xfId="2" applyNumberFormat="1" applyFont="1" applyBorder="1" applyAlignment="1">
      <alignment vertical="center" wrapText="1"/>
    </xf>
    <xf numFmtId="0" fontId="20" fillId="0" borderId="12" xfId="2" applyFont="1" applyBorder="1" applyAlignment="1">
      <alignment vertical="center"/>
    </xf>
    <xf numFmtId="0" fontId="20" fillId="0" borderId="13" xfId="2" applyFont="1" applyBorder="1" applyAlignment="1">
      <alignment vertical="center"/>
    </xf>
    <xf numFmtId="165" fontId="9" fillId="0" borderId="0" xfId="6"/>
    <xf numFmtId="2" fontId="22" fillId="0" borderId="0" xfId="3" applyNumberFormat="1" applyFont="1"/>
    <xf numFmtId="0" fontId="17" fillId="0" borderId="9" xfId="2" applyFont="1" applyBorder="1" applyAlignment="1">
      <alignment vertical="center"/>
    </xf>
    <xf numFmtId="9" fontId="22" fillId="0" borderId="10" xfId="5" applyFont="1" applyBorder="1"/>
    <xf numFmtId="9" fontId="22" fillId="0" borderId="0" xfId="5" applyFont="1" applyBorder="1"/>
    <xf numFmtId="9" fontId="20" fillId="0" borderId="10" xfId="2" applyNumberFormat="1" applyFont="1" applyBorder="1" applyAlignment="1">
      <alignment vertical="center"/>
    </xf>
    <xf numFmtId="9" fontId="20" fillId="0" borderId="0" xfId="2" applyNumberFormat="1" applyFont="1" applyBorder="1" applyAlignment="1">
      <alignment vertical="center"/>
    </xf>
    <xf numFmtId="9" fontId="20" fillId="0" borderId="0" xfId="2" applyNumberFormat="1" applyFont="1" applyBorder="1" applyAlignment="1">
      <alignment vertical="center" wrapText="1"/>
    </xf>
    <xf numFmtId="165" fontId="18" fillId="0" borderId="6" xfId="2" applyNumberFormat="1" applyFont="1" applyBorder="1"/>
    <xf numFmtId="2" fontId="22" fillId="0" borderId="0" xfId="4" applyNumberFormat="1" applyFont="1"/>
    <xf numFmtId="165" fontId="16" fillId="0" borderId="0" xfId="2" applyNumberFormat="1" applyFont="1"/>
    <xf numFmtId="2" fontId="17" fillId="0" borderId="10" xfId="2" applyNumberFormat="1" applyFont="1" applyBorder="1" applyAlignment="1">
      <alignment horizontal="right" vertical="center"/>
    </xf>
    <xf numFmtId="2" fontId="17" fillId="0" borderId="0" xfId="2" applyNumberFormat="1" applyFont="1" applyBorder="1" applyAlignment="1">
      <alignment horizontal="right" vertical="center"/>
    </xf>
    <xf numFmtId="2" fontId="23" fillId="0" borderId="0" xfId="3" applyNumberFormat="1" applyFont="1" applyBorder="1" applyAlignment="1">
      <alignment horizontal="right" vertical="center"/>
    </xf>
    <xf numFmtId="2" fontId="23" fillId="0" borderId="0" xfId="3" applyNumberFormat="1" applyFont="1" applyBorder="1" applyAlignment="1">
      <alignment horizontal="right" vertical="center" wrapText="1"/>
    </xf>
    <xf numFmtId="165" fontId="23" fillId="0" borderId="0" xfId="3" applyFont="1" applyBorder="1" applyAlignment="1">
      <alignment vertical="center"/>
    </xf>
    <xf numFmtId="0" fontId="22" fillId="0" borderId="10" xfId="2" applyFont="1" applyBorder="1"/>
    <xf numFmtId="0" fontId="22" fillId="0" borderId="0" xfId="2" applyFont="1" applyBorder="1"/>
    <xf numFmtId="0" fontId="18" fillId="0" borderId="6" xfId="2" applyFont="1" applyBorder="1"/>
    <xf numFmtId="0" fontId="9" fillId="0" borderId="0" xfId="6" applyNumberFormat="1"/>
    <xf numFmtId="165" fontId="19" fillId="0" borderId="6" xfId="2" applyNumberFormat="1" applyFont="1" applyBorder="1" applyAlignment="1">
      <alignment vertical="center"/>
    </xf>
    <xf numFmtId="2" fontId="23" fillId="0" borderId="7" xfId="3" applyNumberFormat="1" applyFont="1" applyBorder="1" applyAlignment="1">
      <alignment horizontal="right" vertical="center"/>
    </xf>
    <xf numFmtId="2" fontId="23" fillId="0" borderId="8" xfId="3" applyNumberFormat="1" applyFont="1" applyBorder="1" applyAlignment="1">
      <alignment horizontal="right" vertical="center" wrapText="1"/>
    </xf>
    <xf numFmtId="165" fontId="23" fillId="0" borderId="9" xfId="3" applyFont="1" applyBorder="1" applyAlignment="1">
      <alignment vertical="center"/>
    </xf>
    <xf numFmtId="6" fontId="20" fillId="0" borderId="10" xfId="2" applyNumberFormat="1" applyFont="1" applyBorder="1" applyAlignment="1">
      <alignment vertical="center"/>
    </xf>
    <xf numFmtId="6" fontId="20" fillId="0" borderId="0" xfId="2" applyNumberFormat="1" applyFont="1" applyBorder="1" applyAlignment="1">
      <alignment vertical="center"/>
    </xf>
    <xf numFmtId="6" fontId="20" fillId="0" borderId="0" xfId="2" applyNumberFormat="1" applyFont="1" applyBorder="1" applyAlignment="1">
      <alignment vertical="center" wrapText="1"/>
    </xf>
    <xf numFmtId="2" fontId="23" fillId="0" borderId="10" xfId="3" applyNumberFormat="1" applyFont="1" applyBorder="1" applyAlignment="1">
      <alignment horizontal="right" vertical="center"/>
    </xf>
    <xf numFmtId="2" fontId="23" fillId="0" borderId="0" xfId="3" applyNumberFormat="1" applyFont="1" applyAlignment="1">
      <alignment horizontal="right" vertical="center" wrapText="1"/>
    </xf>
    <xf numFmtId="165" fontId="23" fillId="0" borderId="6" xfId="3" applyFont="1" applyBorder="1" applyAlignment="1">
      <alignment vertical="center"/>
    </xf>
    <xf numFmtId="0" fontId="19" fillId="0" borderId="6" xfId="2" applyFont="1" applyBorder="1" applyAlignment="1">
      <alignment vertical="center"/>
    </xf>
    <xf numFmtId="9" fontId="24" fillId="0" borderId="14" xfId="3" applyNumberFormat="1" applyFont="1" applyBorder="1" applyAlignment="1">
      <alignment vertical="center"/>
    </xf>
    <xf numFmtId="9" fontId="24" fillId="0" borderId="15" xfId="3" applyNumberFormat="1" applyFont="1" applyBorder="1" applyAlignment="1">
      <alignment vertical="center" wrapText="1"/>
    </xf>
    <xf numFmtId="165" fontId="24" fillId="0" borderId="16" xfId="3" applyFont="1" applyBorder="1" applyAlignment="1">
      <alignment vertical="center"/>
    </xf>
    <xf numFmtId="165" fontId="24" fillId="0" borderId="19" xfId="3" applyFont="1" applyBorder="1" applyAlignment="1">
      <alignment vertical="center"/>
    </xf>
    <xf numFmtId="165" fontId="3" fillId="0" borderId="0" xfId="3"/>
    <xf numFmtId="10" fontId="22" fillId="0" borderId="0" xfId="5" applyNumberFormat="1" applyFont="1"/>
    <xf numFmtId="9" fontId="18" fillId="0" borderId="0" xfId="3" applyNumberFormat="1" applyFont="1"/>
    <xf numFmtId="165" fontId="18" fillId="0" borderId="0" xfId="3" applyFont="1"/>
    <xf numFmtId="2" fontId="18" fillId="0" borderId="0" xfId="3" applyNumberFormat="1" applyFont="1"/>
    <xf numFmtId="166" fontId="18" fillId="0" borderId="0" xfId="3" applyNumberFormat="1" applyFont="1"/>
    <xf numFmtId="10" fontId="18" fillId="0" borderId="0" xfId="5" applyNumberFormat="1" applyFont="1"/>
    <xf numFmtId="44" fontId="18" fillId="0" borderId="0" xfId="4" applyNumberFormat="1" applyFont="1"/>
    <xf numFmtId="167" fontId="18" fillId="0" borderId="0" xfId="4" applyNumberFormat="1" applyFont="1"/>
    <xf numFmtId="165" fontId="22" fillId="0" borderId="0" xfId="3" applyFont="1"/>
    <xf numFmtId="165" fontId="21" fillId="0" borderId="0" xfId="3" applyFont="1"/>
    <xf numFmtId="165" fontId="16" fillId="0" borderId="0" xfId="3" applyFont="1"/>
    <xf numFmtId="9" fontId="22" fillId="0" borderId="0" xfId="5" applyFont="1"/>
    <xf numFmtId="165" fontId="25" fillId="0" borderId="0" xfId="3" applyFont="1"/>
    <xf numFmtId="165" fontId="18" fillId="0" borderId="2" xfId="7" applyFont="1"/>
    <xf numFmtId="166" fontId="22" fillId="0" borderId="0" xfId="3" applyNumberFormat="1" applyFont="1"/>
    <xf numFmtId="165" fontId="18" fillId="0" borderId="0" xfId="7" applyFont="1" applyBorder="1"/>
    <xf numFmtId="9" fontId="12" fillId="5" borderId="3" xfId="8" applyNumberFormat="1"/>
    <xf numFmtId="0" fontId="22" fillId="0" borderId="0" xfId="3" applyNumberFormat="1" applyFont="1"/>
    <xf numFmtId="165" fontId="0" fillId="0" borderId="0" xfId="3" applyFont="1"/>
    <xf numFmtId="44" fontId="13" fillId="6" borderId="3" xfId="10" applyNumberFormat="1"/>
    <xf numFmtId="44" fontId="12" fillId="5" borderId="3" xfId="4" applyFont="1" applyFill="1" applyBorder="1"/>
    <xf numFmtId="0" fontId="12" fillId="5" borderId="3" xfId="4" applyNumberFormat="1" applyFont="1" applyFill="1" applyBorder="1"/>
    <xf numFmtId="168" fontId="5" fillId="0" borderId="0" xfId="0" applyNumberFormat="1" applyFont="1" applyBorder="1"/>
    <xf numFmtId="3" fontId="5" fillId="0" borderId="0" xfId="0" applyNumberFormat="1" applyFont="1"/>
    <xf numFmtId="3" fontId="5" fillId="0" borderId="0" xfId="0" applyNumberFormat="1" applyFont="1" applyBorder="1"/>
    <xf numFmtId="3" fontId="5" fillId="3" borderId="0" xfId="0" applyNumberFormat="1" applyFont="1" applyFill="1" applyBorder="1"/>
    <xf numFmtId="165" fontId="18" fillId="0" borderId="0" xfId="3" applyFont="1" applyAlignment="1">
      <alignment wrapText="1"/>
    </xf>
    <xf numFmtId="165" fontId="3" fillId="0" borderId="0" xfId="3" applyAlignment="1">
      <alignment wrapText="1"/>
    </xf>
    <xf numFmtId="0" fontId="3" fillId="0" borderId="0" xfId="2" applyAlignment="1">
      <alignment wrapText="1"/>
    </xf>
    <xf numFmtId="0" fontId="29" fillId="10" borderId="20" xfId="0" applyFont="1" applyFill="1" applyBorder="1" applyAlignment="1">
      <alignment horizontal="center" vertical="center" wrapText="1"/>
    </xf>
    <xf numFmtId="0" fontId="30" fillId="9" borderId="20" xfId="0" applyFont="1" applyFill="1" applyBorder="1" applyAlignment="1">
      <alignment horizontal="center" vertical="center" wrapText="1"/>
    </xf>
    <xf numFmtId="169" fontId="5" fillId="0" borderId="0" xfId="0" applyNumberFormat="1" applyFont="1"/>
    <xf numFmtId="0" fontId="28" fillId="0" borderId="0" xfId="85"/>
    <xf numFmtId="4" fontId="12" fillId="5" borderId="3" xfId="1" applyNumberFormat="1"/>
    <xf numFmtId="168" fontId="5" fillId="0" borderId="1" xfId="0" applyNumberFormat="1" applyFont="1" applyBorder="1"/>
    <xf numFmtId="3" fontId="31" fillId="0" borderId="1" xfId="0" applyNumberFormat="1" applyFont="1" applyBorder="1"/>
    <xf numFmtId="3" fontId="31" fillId="0" borderId="0" xfId="0" applyNumberFormat="1" applyFont="1" applyBorder="1"/>
    <xf numFmtId="164" fontId="31" fillId="0" borderId="0" xfId="0" applyNumberFormat="1" applyFont="1" applyBorder="1"/>
    <xf numFmtId="168" fontId="6" fillId="0" borderId="0" xfId="0" applyNumberFormat="1" applyFont="1"/>
    <xf numFmtId="4" fontId="5" fillId="0" borderId="0" xfId="0" applyNumberFormat="1" applyFont="1"/>
    <xf numFmtId="9" fontId="5" fillId="0" borderId="0" xfId="0" applyNumberFormat="1" applyFont="1"/>
    <xf numFmtId="4" fontId="18" fillId="0" borderId="0" xfId="4" applyNumberFormat="1" applyFont="1"/>
    <xf numFmtId="0" fontId="2" fillId="0" borderId="0" xfId="86"/>
    <xf numFmtId="0" fontId="16" fillId="0" borderId="21" xfId="86" applyFont="1" applyBorder="1" applyAlignment="1">
      <alignment horizontal="right" wrapText="1"/>
    </xf>
    <xf numFmtId="0" fontId="16" fillId="0" borderId="21" xfId="86" applyFont="1" applyBorder="1" applyAlignment="1">
      <alignment wrapText="1"/>
    </xf>
    <xf numFmtId="0" fontId="2" fillId="0" borderId="0" xfId="86" applyAlignment="1">
      <alignment wrapText="1"/>
    </xf>
    <xf numFmtId="0" fontId="2" fillId="0" borderId="0" xfId="86" applyAlignment="1">
      <alignment horizontal="right" wrapText="1"/>
    </xf>
    <xf numFmtId="0" fontId="9" fillId="0" borderId="0" xfId="0" applyFont="1"/>
    <xf numFmtId="165" fontId="3" fillId="0" borderId="0" xfId="82"/>
    <xf numFmtId="0" fontId="1" fillId="0" borderId="0" xfId="2" applyFont="1"/>
    <xf numFmtId="10" fontId="6" fillId="0" borderId="0" xfId="89" applyNumberFormat="1" applyFont="1" applyBorder="1"/>
    <xf numFmtId="3" fontId="2" fillId="0" borderId="0" xfId="86" applyNumberFormat="1"/>
    <xf numFmtId="9" fontId="5" fillId="0" borderId="0" xfId="0" applyNumberFormat="1" applyFont="1" applyBorder="1"/>
    <xf numFmtId="8" fontId="5" fillId="0" borderId="0" xfId="0" applyNumberFormat="1" applyFont="1"/>
    <xf numFmtId="8" fontId="5" fillId="0" borderId="0" xfId="0" applyNumberFormat="1" applyFont="1" applyBorder="1"/>
    <xf numFmtId="8" fontId="9" fillId="0" borderId="0" xfId="0" applyNumberFormat="1" applyFont="1"/>
    <xf numFmtId="0" fontId="33" fillId="0" borderId="0" xfId="0" applyFont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8" borderId="0" xfId="0" applyFont="1" applyFill="1" applyAlignment="1">
      <alignment horizontal="center" vertical="center"/>
    </xf>
    <xf numFmtId="0" fontId="34" fillId="8" borderId="0" xfId="0" applyFont="1" applyFill="1" applyAlignment="1">
      <alignment horizontal="center" vertical="center"/>
    </xf>
    <xf numFmtId="170" fontId="34" fillId="0" borderId="0" xfId="0" applyNumberFormat="1" applyFont="1"/>
    <xf numFmtId="6" fontId="34" fillId="0" borderId="0" xfId="0" applyNumberFormat="1" applyFont="1" applyAlignment="1">
      <alignment horizontal="center" vertical="center"/>
    </xf>
    <xf numFmtId="6" fontId="34" fillId="8" borderId="0" xfId="0" applyNumberFormat="1" applyFont="1" applyFill="1" applyAlignment="1">
      <alignment horizontal="center" vertical="center"/>
    </xf>
    <xf numFmtId="171" fontId="5" fillId="0" borderId="0" xfId="0" applyNumberFormat="1" applyFont="1"/>
    <xf numFmtId="0" fontId="39" fillId="0" borderId="0" xfId="90" applyFont="1" applyBorder="1"/>
    <xf numFmtId="0" fontId="34" fillId="0" borderId="0" xfId="0" applyFont="1" applyBorder="1"/>
    <xf numFmtId="0" fontId="34" fillId="0" borderId="24" xfId="0" applyFont="1" applyBorder="1"/>
    <xf numFmtId="0" fontId="34" fillId="0" borderId="25" xfId="0" applyFont="1" applyBorder="1"/>
    <xf numFmtId="0" fontId="34" fillId="0" borderId="27" xfId="0" applyFont="1" applyBorder="1"/>
    <xf numFmtId="0" fontId="34" fillId="0" borderId="29" xfId="0" applyFont="1" applyBorder="1"/>
    <xf numFmtId="0" fontId="34" fillId="0" borderId="30" xfId="0" applyFont="1" applyBorder="1"/>
    <xf numFmtId="0" fontId="34" fillId="0" borderId="0" xfId="0" applyFont="1" applyAlignment="1">
      <alignment horizontal="right"/>
    </xf>
    <xf numFmtId="170" fontId="34" fillId="0" borderId="0" xfId="0" applyNumberFormat="1" applyFont="1" applyAlignment="1">
      <alignment horizontal="right"/>
    </xf>
    <xf numFmtId="1" fontId="34" fillId="0" borderId="0" xfId="0" applyNumberFormat="1" applyFont="1"/>
    <xf numFmtId="165" fontId="35" fillId="0" borderId="23" xfId="3" applyFont="1" applyBorder="1" applyAlignment="1">
      <alignment horizontal="right"/>
    </xf>
    <xf numFmtId="165" fontId="35" fillId="0" borderId="26" xfId="3" applyFont="1" applyBorder="1" applyAlignment="1">
      <alignment horizontal="right"/>
    </xf>
    <xf numFmtId="165" fontId="35" fillId="0" borderId="28" xfId="3" applyFont="1" applyBorder="1" applyAlignment="1">
      <alignment horizontal="right"/>
    </xf>
    <xf numFmtId="0" fontId="41" fillId="11" borderId="31" xfId="0" applyFont="1" applyFill="1" applyBorder="1" applyAlignment="1">
      <alignment horizontal="center" vertical="center" wrapText="1"/>
    </xf>
    <xf numFmtId="0" fontId="41" fillId="11" borderId="36" xfId="0" applyFont="1" applyFill="1" applyBorder="1" applyAlignment="1">
      <alignment horizontal="center" vertical="center" wrapText="1"/>
    </xf>
    <xf numFmtId="0" fontId="41" fillId="11" borderId="37" xfId="0" applyFont="1" applyFill="1" applyBorder="1" applyAlignment="1">
      <alignment horizontal="center" vertical="center" wrapText="1"/>
    </xf>
    <xf numFmtId="0" fontId="42" fillId="0" borderId="0" xfId="0" applyFont="1" applyAlignment="1">
      <alignment wrapText="1"/>
    </xf>
    <xf numFmtId="3" fontId="43" fillId="0" borderId="0" xfId="0" applyNumberFormat="1" applyFont="1"/>
    <xf numFmtId="172" fontId="34" fillId="0" borderId="0" xfId="0" applyNumberFormat="1" applyFont="1"/>
    <xf numFmtId="9" fontId="45" fillId="0" borderId="0" xfId="0" applyNumberFormat="1" applyFont="1" applyAlignment="1">
      <alignment horizontal="center" vertical="center"/>
    </xf>
    <xf numFmtId="4" fontId="45" fillId="0" borderId="22" xfId="91" applyNumberFormat="1" applyFont="1" applyBorder="1" applyAlignment="1">
      <alignment horizontal="center" vertical="center"/>
    </xf>
    <xf numFmtId="4" fontId="45" fillId="0" borderId="39" xfId="91" applyNumberFormat="1" applyFont="1" applyBorder="1" applyAlignment="1">
      <alignment horizontal="center" vertical="center"/>
    </xf>
    <xf numFmtId="0" fontId="45" fillId="0" borderId="40" xfId="0" applyFont="1" applyBorder="1" applyAlignment="1">
      <alignment horizontal="center" vertical="center"/>
    </xf>
    <xf numFmtId="0" fontId="45" fillId="0" borderId="41" xfId="0" applyFont="1" applyBorder="1" applyAlignment="1">
      <alignment horizontal="center" vertical="center"/>
    </xf>
    <xf numFmtId="4" fontId="45" fillId="0" borderId="40" xfId="0" applyNumberFormat="1" applyFont="1" applyBorder="1" applyAlignment="1">
      <alignment horizontal="center" vertical="center"/>
    </xf>
    <xf numFmtId="4" fontId="45" fillId="0" borderId="41" xfId="0" applyNumberFormat="1" applyFont="1" applyBorder="1" applyAlignment="1">
      <alignment horizontal="center" vertical="center"/>
    </xf>
    <xf numFmtId="165" fontId="35" fillId="0" borderId="42" xfId="3" applyFont="1" applyBorder="1" applyAlignment="1">
      <alignment horizontal="right"/>
    </xf>
    <xf numFmtId="165" fontId="35" fillId="0" borderId="43" xfId="3" applyFont="1" applyBorder="1" applyAlignment="1">
      <alignment horizontal="right"/>
    </xf>
    <xf numFmtId="0" fontId="0" fillId="0" borderId="38" xfId="0" applyBorder="1"/>
    <xf numFmtId="9" fontId="45" fillId="0" borderId="44" xfId="0" applyNumberFormat="1" applyFont="1" applyBorder="1" applyAlignment="1">
      <alignment horizontal="center"/>
    </xf>
    <xf numFmtId="165" fontId="35" fillId="0" borderId="45" xfId="3" applyFont="1" applyBorder="1" applyAlignment="1">
      <alignment horizontal="right"/>
    </xf>
    <xf numFmtId="6" fontId="34" fillId="0" borderId="0" xfId="88" applyNumberFormat="1" applyFont="1"/>
    <xf numFmtId="0" fontId="42" fillId="0" borderId="0" xfId="0" applyFont="1"/>
    <xf numFmtId="0" fontId="42" fillId="0" borderId="0" xfId="0" applyFont="1" applyAlignment="1">
      <alignment vertical="center"/>
    </xf>
    <xf numFmtId="9" fontId="42" fillId="0" borderId="0" xfId="0" applyNumberFormat="1" applyFont="1" applyAlignment="1">
      <alignment vertical="center"/>
    </xf>
    <xf numFmtId="0" fontId="38" fillId="0" borderId="22" xfId="90" applyAlignment="1">
      <alignment vertical="center"/>
    </xf>
    <xf numFmtId="0" fontId="38" fillId="0" borderId="22" xfId="90" applyAlignment="1">
      <alignment horizontal="center" vertical="center" wrapText="1"/>
    </xf>
    <xf numFmtId="0" fontId="38" fillId="0" borderId="22" xfId="90" applyAlignment="1">
      <alignment horizontal="center" vertical="center"/>
    </xf>
    <xf numFmtId="0" fontId="36" fillId="8" borderId="0" xfId="0" applyFont="1" applyFill="1" applyAlignment="1">
      <alignment horizontal="right" vertical="center"/>
    </xf>
    <xf numFmtId="0" fontId="36" fillId="0" borderId="0" xfId="0" applyFont="1" applyAlignment="1">
      <alignment horizontal="right" vertical="center"/>
    </xf>
    <xf numFmtId="165" fontId="22" fillId="0" borderId="0" xfId="3" applyFont="1" applyAlignment="1">
      <alignment horizontal="center"/>
    </xf>
    <xf numFmtId="165" fontId="24" fillId="0" borderId="18" xfId="3" applyFont="1" applyBorder="1" applyAlignment="1">
      <alignment vertical="center" wrapText="1"/>
    </xf>
    <xf numFmtId="165" fontId="24" fillId="0" borderId="17" xfId="3" applyFont="1" applyBorder="1" applyAlignment="1">
      <alignment vertical="center" wrapText="1"/>
    </xf>
    <xf numFmtId="0" fontId="41" fillId="11" borderId="36" xfId="0" applyFont="1" applyFill="1" applyBorder="1" applyAlignment="1">
      <alignment horizontal="center" vertical="center" wrapText="1"/>
    </xf>
    <xf numFmtId="0" fontId="41" fillId="11" borderId="37" xfId="0" applyFont="1" applyFill="1" applyBorder="1" applyAlignment="1">
      <alignment horizontal="center" vertical="center" wrapText="1"/>
    </xf>
    <xf numFmtId="0" fontId="41" fillId="11" borderId="32" xfId="0" applyFont="1" applyFill="1" applyBorder="1" applyAlignment="1">
      <alignment horizontal="center" vertical="center" wrapText="1"/>
    </xf>
    <xf numFmtId="0" fontId="41" fillId="11" borderId="33" xfId="0" applyFont="1" applyFill="1" applyBorder="1" applyAlignment="1">
      <alignment horizontal="center" vertical="center" wrapText="1"/>
    </xf>
    <xf numFmtId="0" fontId="41" fillId="11" borderId="34" xfId="0" applyFont="1" applyFill="1" applyBorder="1" applyAlignment="1">
      <alignment horizontal="center" vertical="center" wrapText="1"/>
    </xf>
    <xf numFmtId="0" fontId="41" fillId="11" borderId="35" xfId="0" applyFont="1" applyFill="1" applyBorder="1" applyAlignment="1">
      <alignment horizontal="center" vertical="center" wrapText="1"/>
    </xf>
  </cellXfs>
  <cellStyles count="92">
    <cellStyle name="Bad 2" xfId="11"/>
    <cellStyle name="Calculation 2" xfId="10"/>
    <cellStyle name="Check Cell 2" xfId="12"/>
    <cellStyle name="Comma" xfId="91" builtinId="3"/>
    <cellStyle name="Comma 2" xfId="13"/>
    <cellStyle name="Currency" xfId="88" builtinId="4"/>
    <cellStyle name="Currency 2" xfId="4"/>
    <cellStyle name="Heading 1" xfId="90" builtinId="16"/>
    <cellStyle name="Heading 3 2" xfId="7"/>
    <cellStyle name="Heading 4 2" xfId="14"/>
    <cellStyle name="Hyperlink" xfId="85" builtinId="8"/>
    <cellStyle name="Hyperlink 2" xfId="15"/>
    <cellStyle name="Input" xfId="1" builtinId="20"/>
    <cellStyle name="Input 2" xfId="8"/>
    <cellStyle name="Normal" xfId="0" builtinId="0"/>
    <cellStyle name="Normal 10" xfId="16"/>
    <cellStyle name="Normal 10 2" xfId="17"/>
    <cellStyle name="Normal 11" xfId="18"/>
    <cellStyle name="Normal 12" xfId="19"/>
    <cellStyle name="Normal 13" xfId="9"/>
    <cellStyle name="Normal 13 2" xfId="20"/>
    <cellStyle name="Normal 14" xfId="21"/>
    <cellStyle name="Normal 15" xfId="3"/>
    <cellStyle name="Normal 16" xfId="86"/>
    <cellStyle name="Normal 2" xfId="2"/>
    <cellStyle name="Normal 3" xfId="22"/>
    <cellStyle name="Normal 3 2" xfId="23"/>
    <cellStyle name="Normal 3 2 2" xfId="24"/>
    <cellStyle name="Normal 3 2 2 2" xfId="25"/>
    <cellStyle name="Normal 3 2 2 2 2" xfId="26"/>
    <cellStyle name="Normal 3 2 2 2 3" xfId="27"/>
    <cellStyle name="Normal 3 2 2 2 3 2" xfId="28"/>
    <cellStyle name="Normal 3 2 2 2 3 3" xfId="29"/>
    <cellStyle name="Normal 3 2 2 2 3 3 2" xfId="30"/>
    <cellStyle name="Normal 3 2 2 2 3 3 2 2" xfId="31"/>
    <cellStyle name="Normal 3 2 2 2 3 3 2 2 2" xfId="32"/>
    <cellStyle name="Normal 3 2 2 2 3 3 2 2 3" xfId="33"/>
    <cellStyle name="Normal 3 2 2 2 3 3 2 2 3 2" xfId="34"/>
    <cellStyle name="Normal 3 2 2 2 3 3 2 3" xfId="35"/>
    <cellStyle name="Normal 3 2 2 2 3 4" xfId="36"/>
    <cellStyle name="Normal 3 2 2 2 3 4 2" xfId="37"/>
    <cellStyle name="Normal 3 2 2 2 3 4 2 2" xfId="38"/>
    <cellStyle name="Normal 3 2 2 2 3 4 2 3" xfId="39"/>
    <cellStyle name="Normal 3 2 2 2 3 4 2 3 2" xfId="40"/>
    <cellStyle name="Normal 3 2 2 2 3 4 2 3 3" xfId="41"/>
    <cellStyle name="Normal 3 2 2 2 3 4 2 3 3 2" xfId="42"/>
    <cellStyle name="Normal 3 2 2 2 3 4 2 3 3 3" xfId="43"/>
    <cellStyle name="Normal 3 2 2 2 3 4 2 3 4" xfId="44"/>
    <cellStyle name="Normal 3 2 2 2 3 4 2 3 4 2" xfId="45"/>
    <cellStyle name="Normal 3 2 2 2 3 4 2 3 4 3" xfId="46"/>
    <cellStyle name="Normal 3 2 2 2 3 4 2 3 4 3 2" xfId="47"/>
    <cellStyle name="Normal 3 2 2 2 3 4 2 4" xfId="48"/>
    <cellStyle name="Normal 3 2 2 2 3 4 2 5" xfId="49"/>
    <cellStyle name="Normal 3 2 2 2 3 4 3" xfId="50"/>
    <cellStyle name="Normal 3 2 2 2 3 5" xfId="51"/>
    <cellStyle name="Normal 3 2 2 2 3 5 2" xfId="52"/>
    <cellStyle name="Normal 3 2 2 2 3 5 2 2" xfId="53"/>
    <cellStyle name="Normal 3 2 2 2 3 5 3" xfId="54"/>
    <cellStyle name="Normal 3 2 2 2 3 6" xfId="55"/>
    <cellStyle name="Normal 3 2 2 2 4" xfId="56"/>
    <cellStyle name="Normal 3 2 2 2 4 2" xfId="57"/>
    <cellStyle name="Normal 3 2 2 2 4 3" xfId="58"/>
    <cellStyle name="Normal 3 2 2 2 4 4" xfId="59"/>
    <cellStyle name="Normal 3 2 2 2 4 4 2" xfId="60"/>
    <cellStyle name="Normal 3 2 2 2 4 4 3" xfId="61"/>
    <cellStyle name="Normal 3 2 2 2 4 4 3 2" xfId="62"/>
    <cellStyle name="Normal 3 2 2 2 4 4 3 3" xfId="63"/>
    <cellStyle name="Normal 3 2 2 2 4 5" xfId="64"/>
    <cellStyle name="Normal 3 2 2 2 4 6" xfId="65"/>
    <cellStyle name="Normal 3 2 2 2 4 6 2" xfId="66"/>
    <cellStyle name="Normal 3 2 2 2 4 7" xfId="67"/>
    <cellStyle name="Normal 3 2 2 2 4 7 2" xfId="68"/>
    <cellStyle name="Normal 3 2 2 2 4 7 3" xfId="69"/>
    <cellStyle name="Normal 3 2 2 2 4 7 3 2" xfId="70"/>
    <cellStyle name="Normal 3 3" xfId="71"/>
    <cellStyle name="Normal 3 3 2" xfId="72"/>
    <cellStyle name="Normal 3 4" xfId="73"/>
    <cellStyle name="Normal 3 5" xfId="74"/>
    <cellStyle name="Normal 3 5 2" xfId="75"/>
    <cellStyle name="Normal 4" xfId="76"/>
    <cellStyle name="Normal 5" xfId="77"/>
    <cellStyle name="Normal 5 2" xfId="78"/>
    <cellStyle name="Normal 6" xfId="79"/>
    <cellStyle name="Normal 7" xfId="6"/>
    <cellStyle name="Normal 7 2" xfId="80"/>
    <cellStyle name="Normal 8" xfId="81"/>
    <cellStyle name="Normal 9" xfId="82"/>
    <cellStyle name="Percent" xfId="89" builtinId="5"/>
    <cellStyle name="Percent 2" xfId="5"/>
    <cellStyle name="Percent 3" xfId="83"/>
    <cellStyle name="Percent 4" xfId="87"/>
    <cellStyle name="Total 2" xfId="84"/>
  </cellStyles>
  <dxfs count="1">
    <dxf>
      <font>
        <b/>
        <i val="0"/>
        <color rgb="FF00B05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Crops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'Farm plan'!$A$9:$A$30</c:f>
              <c:strCache>
                <c:ptCount val="12"/>
                <c:pt idx="0">
                  <c:v>Permanent pasture</c:v>
                </c:pt>
                <c:pt idx="1">
                  <c:v>Leys</c:v>
                </c:pt>
                <c:pt idx="2">
                  <c:v>Maize</c:v>
                </c:pt>
                <c:pt idx="3">
                  <c:v>Wheat</c:v>
                </c:pt>
                <c:pt idx="4">
                  <c:v>Barley</c:v>
                </c:pt>
                <c:pt idx="5">
                  <c:v>Oil seed rape</c:v>
                </c:pt>
                <c:pt idx="6">
                  <c:v>Fruit</c:v>
                </c:pt>
                <c:pt idx="7">
                  <c:v>Other break crops</c:v>
                </c:pt>
                <c:pt idx="8">
                  <c:v>Potatoes</c:v>
                </c:pt>
                <c:pt idx="9">
                  <c:v>Field vegitables</c:v>
                </c:pt>
                <c:pt idx="10">
                  <c:v>Glasshouses/polytunnels</c:v>
                </c:pt>
                <c:pt idx="11">
                  <c:v>Woodland</c:v>
                </c:pt>
              </c:strCache>
            </c:strRef>
          </c:cat>
          <c:val>
            <c:numRef>
              <c:f>'Farm plan'!$B$9:$B$30</c:f>
              <c:numCache>
                <c:formatCode>General</c:formatCode>
                <c:ptCount val="22"/>
                <c:pt idx="0">
                  <c:v>150</c:v>
                </c:pt>
                <c:pt idx="2">
                  <c:v>46</c:v>
                </c:pt>
                <c:pt idx="3">
                  <c:v>50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Livestock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'Farm plan'!$A$3:$A$5</c:f>
              <c:strCache>
                <c:ptCount val="3"/>
                <c:pt idx="0">
                  <c:v>Zero grazed dairy cows</c:v>
                </c:pt>
                <c:pt idx="1">
                  <c:v>Summer grazed dairy cows</c:v>
                </c:pt>
                <c:pt idx="2">
                  <c:v>Poultry</c:v>
                </c:pt>
              </c:strCache>
            </c:strRef>
          </c:cat>
          <c:val>
            <c:numRef>
              <c:f>'Farm plan'!$B$3:$B$5</c:f>
              <c:numCache>
                <c:formatCode>General</c:formatCode>
                <c:ptCount val="3"/>
                <c:pt idx="0">
                  <c:v>80</c:v>
                </c:pt>
                <c:pt idx="1">
                  <c:v>80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Cashflow</a:t>
            </a:r>
          </a:p>
        </c:rich>
      </c:tx>
      <c:layout/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75000"/>
                  </a:schemeClr>
                </a:gs>
                <a:gs pos="53000">
                  <a:schemeClr val="tx2">
                    <a:lumMod val="60000"/>
                    <a:lumOff val="40000"/>
                  </a:schemeClr>
                </a:gs>
                <a:gs pos="83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0"/>
                    <a:lumOff val="100000"/>
                  </a:schemeClr>
                </a:gs>
              </a:gsLst>
              <a:lin ang="19200000" scaled="0"/>
            </a:gra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Calcs!$B$112:$B$127</c:f>
              <c:numCache>
                <c:formatCode>#,##0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Calcs!$F$112:$F$127</c:f>
              <c:numCache>
                <c:formatCode>"$"#,##0\ "k";[Red]\-"$"#,##0\ "k"</c:formatCode>
                <c:ptCount val="16"/>
                <c:pt idx="0">
                  <c:v>-818.71976453352886</c:v>
                </c:pt>
                <c:pt idx="1">
                  <c:v>-697.09328841819195</c:v>
                </c:pt>
                <c:pt idx="2">
                  <c:v>-575.46681230285503</c:v>
                </c:pt>
                <c:pt idx="3">
                  <c:v>-453.84033618751818</c:v>
                </c:pt>
                <c:pt idx="4">
                  <c:v>-332.21386007218132</c:v>
                </c:pt>
                <c:pt idx="5">
                  <c:v>-210.58738395684449</c:v>
                </c:pt>
                <c:pt idx="6">
                  <c:v>-88.960907841507634</c:v>
                </c:pt>
                <c:pt idx="7">
                  <c:v>32.665568273829209</c:v>
                </c:pt>
                <c:pt idx="8">
                  <c:v>154.29204438916605</c:v>
                </c:pt>
                <c:pt idx="9">
                  <c:v>275.91852050450291</c:v>
                </c:pt>
                <c:pt idx="10">
                  <c:v>397.54499661983982</c:v>
                </c:pt>
                <c:pt idx="11">
                  <c:v>519.17147273517662</c:v>
                </c:pt>
                <c:pt idx="12">
                  <c:v>640.79794885051354</c:v>
                </c:pt>
                <c:pt idx="13">
                  <c:v>762.42442496585045</c:v>
                </c:pt>
                <c:pt idx="14">
                  <c:v>884.05090108118725</c:v>
                </c:pt>
                <c:pt idx="15">
                  <c:v>1005.6773771965242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2336"/>
        <c:axId val="146392192"/>
      </c:areaChart>
      <c:catAx>
        <c:axId val="14246233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146392192"/>
        <c:crosses val="autoZero"/>
        <c:auto val="1"/>
        <c:lblAlgn val="ctr"/>
        <c:lblOffset val="100"/>
        <c:noMultiLvlLbl val="0"/>
      </c:catAx>
      <c:valAx>
        <c:axId val="146392192"/>
        <c:scaling>
          <c:orientation val="minMax"/>
        </c:scaling>
        <c:delete val="0"/>
        <c:axPos val="l"/>
        <c:majorGridlines/>
        <c:numFmt formatCode="&quot;$&quot;#,##0\ &quot;k&quot;;[Red]\-&quot;$&quot;#,##0\ &quot;k&quot;" sourceLinked="1"/>
        <c:majorTickMark val="out"/>
        <c:minorTickMark val="none"/>
        <c:tickLblPos val="nextTo"/>
        <c:crossAx val="142462336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Calcs!$B$102</c:f>
              <c:strCache>
                <c:ptCount val="1"/>
                <c:pt idx="0">
                  <c:v>Maintenance and operation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Calcs!$F$102</c:f>
              <c:numCache>
                <c:formatCode>"$"#,##0\ "k";[Red]\-"$"#,##0\ "k"</c:formatCode>
                <c:ptCount val="1"/>
                <c:pt idx="0">
                  <c:v>-27.568847857735843</c:v>
                </c:pt>
              </c:numCache>
            </c:numRef>
          </c:val>
        </c:ser>
        <c:ser>
          <c:idx val="2"/>
          <c:order val="1"/>
          <c:tx>
            <c:strRef>
              <c:f>Calcs!$B$103</c:f>
              <c:strCache>
                <c:ptCount val="1"/>
                <c:pt idx="0">
                  <c:v>Annual Energy Crop Cost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Calcs!$F$103</c:f>
              <c:numCache>
                <c:formatCode>"$"#,##0\ "k";[Red]\-"$"#,##0\ "k"</c:formatCode>
                <c:ptCount val="1"/>
                <c:pt idx="0">
                  <c:v>-46</c:v>
                </c:pt>
              </c:numCache>
            </c:numRef>
          </c:val>
        </c:ser>
        <c:ser>
          <c:idx val="3"/>
          <c:order val="2"/>
          <c:tx>
            <c:strRef>
              <c:f>Calcs!$B$85</c:f>
              <c:strCache>
                <c:ptCount val="1"/>
                <c:pt idx="0">
                  <c:v>Value of Displaced Electricity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Calcs!$E$85</c:f>
              <c:numCache>
                <c:formatCode>"$"#,##0\ "k";[Red]\-"$"#,##0\ "k"</c:formatCode>
                <c:ptCount val="1"/>
                <c:pt idx="0">
                  <c:v>5.0839999999999996</c:v>
                </c:pt>
              </c:numCache>
            </c:numRef>
          </c:val>
        </c:ser>
        <c:ser>
          <c:idx val="4"/>
          <c:order val="3"/>
          <c:tx>
            <c:strRef>
              <c:f>Calcs!$B$84</c:f>
              <c:strCache>
                <c:ptCount val="1"/>
                <c:pt idx="0">
                  <c:v>Income from Export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Calcs!$E$84</c:f>
              <c:numCache>
                <c:formatCode>"$"#,##0\ "k";[Red]\-"$"#,##0\ "k"</c:formatCode>
                <c:ptCount val="1"/>
                <c:pt idx="0">
                  <c:v>35.025657544338777</c:v>
                </c:pt>
              </c:numCache>
            </c:numRef>
          </c:val>
        </c:ser>
        <c:ser>
          <c:idx val="5"/>
          <c:order val="4"/>
          <c:tx>
            <c:strRef>
              <c:f>Calcs!$B$83</c:f>
              <c:strCache>
                <c:ptCount val="1"/>
                <c:pt idx="0">
                  <c:v>Income from Generation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Calcs!$E$83</c:f>
              <c:numCache>
                <c:formatCode>"$"#,##0\ "k";[Red]\-"$"#,##0\ "k"</c:formatCode>
                <c:ptCount val="1"/>
                <c:pt idx="0">
                  <c:v>119.28605642873389</c:v>
                </c:pt>
              </c:numCache>
            </c:numRef>
          </c:val>
        </c:ser>
        <c:ser>
          <c:idx val="6"/>
          <c:order val="5"/>
          <c:tx>
            <c:strRef>
              <c:f>Calcs!$B$93</c:f>
              <c:strCache>
                <c:ptCount val="1"/>
                <c:pt idx="0">
                  <c:v>Displaced heating costs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Calcs!$E$93</c:f>
              <c:numCache>
                <c:formatCode>"$"#,##0\ "k";[Red]\-"$"#,##0\ "k"</c:formatCode>
                <c:ptCount val="1"/>
                <c:pt idx="0">
                  <c:v>16.150199999999998</c:v>
                </c:pt>
              </c:numCache>
            </c:numRef>
          </c:val>
        </c:ser>
        <c:ser>
          <c:idx val="7"/>
          <c:order val="6"/>
          <c:tx>
            <c:strRef>
              <c:f>Calcs!$B$92</c:f>
              <c:strCache>
                <c:ptCount val="1"/>
                <c:pt idx="0">
                  <c:v>RHI Payments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Calcs!$F$92</c:f>
              <c:numCache>
                <c:formatCode>"$"#,##0\ "k";[Red]\-"$"#,##0\ "k"</c:formatCode>
                <c:ptCount val="1"/>
                <c:pt idx="0">
                  <c:v>19.64941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4"/>
        <c:overlap val="100"/>
        <c:axId val="146226560"/>
        <c:axId val="146232448"/>
      </c:barChart>
      <c:catAx>
        <c:axId val="146226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6232448"/>
        <c:crosses val="autoZero"/>
        <c:auto val="1"/>
        <c:lblAlgn val="ctr"/>
        <c:lblOffset val="100"/>
        <c:noMultiLvlLbl val="0"/>
      </c:catAx>
      <c:valAx>
        <c:axId val="146232448"/>
        <c:scaling>
          <c:orientation val="minMax"/>
        </c:scaling>
        <c:delete val="0"/>
        <c:axPos val="l"/>
        <c:majorGridlines>
          <c:spPr>
            <a:ln w="12700"/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Annual income</a:t>
                </a:r>
              </a:p>
            </c:rich>
          </c:tx>
          <c:layout/>
          <c:overlay val="0"/>
        </c:title>
        <c:numFmt formatCode="&quot;$&quot;#,##0\ &quot;k&quot;;[Red]\-&quot;$&quot;#,##0\ &quot;k&quot;" sourceLinked="1"/>
        <c:majorTickMark val="out"/>
        <c:minorTickMark val="none"/>
        <c:tickLblPos val="nextTo"/>
        <c:crossAx val="146226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617125247721163"/>
          <c:y val="7.4234762108437338E-2"/>
          <c:w val="0.33806298063864515"/>
          <c:h val="0.8515302500742018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Calcs!$G$72</c:f>
              <c:strCache>
                <c:ptCount val="1"/>
                <c:pt idx="0">
                  <c:v>Heat</c:v>
                </c:pt>
              </c:strCache>
            </c:strRef>
          </c:tx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Calcs!$G$73:$G$74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Calcs!$H$72</c:f>
              <c:strCache>
                <c:ptCount val="1"/>
                <c:pt idx="0">
                  <c:v>Electricity</c:v>
                </c:pt>
              </c:strCache>
            </c:strRef>
          </c:tx>
          <c:dLbls>
            <c:delete val="1"/>
          </c:dLbls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Calcs!$H$73:$H$74</c:f>
              <c:numCache>
                <c:formatCode>0%</c:formatCode>
                <c:ptCount val="2"/>
                <c:pt idx="0">
                  <c:v>30.953868525586476</c:v>
                </c:pt>
                <c:pt idx="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 sz="16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3485031522704924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'Sensitivity Analysis'!$S$26</c:f>
              <c:strCache>
                <c:ptCount val="1"/>
                <c:pt idx="0">
                  <c:v> Crop Yield </c:v>
                </c:pt>
              </c:strCache>
            </c:strRef>
          </c:tx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Analysis'!$K$27:$K$47</c:f>
              <c:numCache>
                <c:formatCode>0.00</c:formatCode>
                <c:ptCount val="21"/>
                <c:pt idx="0">
                  <c:v>4.7722411164800418</c:v>
                </c:pt>
                <c:pt idx="1">
                  <c:v>4.7462916773314472</c:v>
                </c:pt>
                <c:pt idx="2">
                  <c:v>4.7205403039378551</c:v>
                </c:pt>
                <c:pt idx="3">
                  <c:v>4.6949847527039328</c:v>
                </c:pt>
                <c:pt idx="4">
                  <c:v>4.6696227942937307</c:v>
                </c:pt>
                <c:pt idx="5">
                  <c:v>4.6444522149729668</c:v>
                </c:pt>
                <c:pt idx="6">
                  <c:v>4.619470817806004</c:v>
                </c:pt>
                <c:pt idx="7">
                  <c:v>4.5946764237197062</c:v>
                </c:pt>
                <c:pt idx="8">
                  <c:v>4.570066872445337</c:v>
                </c:pt>
                <c:pt idx="9">
                  <c:v>4.5456400233488239</c:v>
                </c:pt>
                <c:pt idx="10">
                  <c:v>4.5213937561587434</c:v>
                </c:pt>
                <c:pt idx="11">
                  <c:v>7.5017947202253614</c:v>
                </c:pt>
                <c:pt idx="12">
                  <c:v>7.4625685303405263</c:v>
                </c:pt>
                <c:pt idx="13">
                  <c:v>7.4235933752842209</c:v>
                </c:pt>
                <c:pt idx="14">
                  <c:v>7.3848675391237135</c:v>
                </c:pt>
                <c:pt idx="15">
                  <c:v>7.3463892731577483</c:v>
                </c:pt>
                <c:pt idx="16">
                  <c:v>7.3081567996261203</c:v>
                </c:pt>
                <c:pt idx="17">
                  <c:v>7.2701683151630316</c:v>
                </c:pt>
                <c:pt idx="18">
                  <c:v>7.2324219940112924</c:v>
                </c:pt>
                <c:pt idx="19">
                  <c:v>7.1949159910134286</c:v>
                </c:pt>
                <c:pt idx="20">
                  <c:v>7.1576484443943764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'Sensitivity Analysis'!$W$26</c:f>
              <c:strCache>
                <c:ptCount val="1"/>
                <c:pt idx="0">
                  <c:v> Electricity Price </c:v>
                </c:pt>
              </c:strCache>
            </c:strRef>
          </c:tx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Analysis'!$O$27:$O$47</c:f>
              <c:numCache>
                <c:formatCode>0.00</c:formatCode>
                <c:ptCount val="21"/>
                <c:pt idx="0">
                  <c:v>4.5250868719896529</c:v>
                </c:pt>
                <c:pt idx="1">
                  <c:v>4.5246807400479545</c:v>
                </c:pt>
                <c:pt idx="2">
                  <c:v>4.5242835075969685</c:v>
                </c:pt>
                <c:pt idx="3">
                  <c:v>4.5238948852876888</c:v>
                </c:pt>
                <c:pt idx="4">
                  <c:v>4.5235145961800933</c:v>
                </c:pt>
                <c:pt idx="5">
                  <c:v>4.5231423750849871</c:v>
                </c:pt>
                <c:pt idx="6">
                  <c:v>4.5227779679472935</c:v>
                </c:pt>
                <c:pt idx="7">
                  <c:v>4.5224211312677802</c:v>
                </c:pt>
                <c:pt idx="8">
                  <c:v>4.5220716315604719</c:v>
                </c:pt>
                <c:pt idx="9">
                  <c:v>4.5217292448431614</c:v>
                </c:pt>
                <c:pt idx="10">
                  <c:v>4.5213937561587434</c:v>
                </c:pt>
                <c:pt idx="11">
                  <c:v>4.5210649591251677</c:v>
                </c:pt>
                <c:pt idx="12">
                  <c:v>4.5207426555120778</c:v>
                </c:pt>
                <c:pt idx="13">
                  <c:v>4.5204266548422671</c:v>
                </c:pt>
                <c:pt idx="14">
                  <c:v>4.520116774016306</c:v>
                </c:pt>
                <c:pt idx="15">
                  <c:v>4.5198128369587547</c:v>
                </c:pt>
                <c:pt idx="16">
                  <c:v>4.5195146742845589</c:v>
                </c:pt>
                <c:pt idx="17">
                  <c:v>4.5192221229842566</c:v>
                </c:pt>
                <c:pt idx="18">
                  <c:v>4.518935026126818</c:v>
                </c:pt>
                <c:pt idx="19">
                  <c:v>4.5186532325789317</c:v>
                </c:pt>
                <c:pt idx="20">
                  <c:v>4.5183765967397198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'Sensitivity Analysis'!$U$26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Analysis'!$M$27:$M$47</c:f>
              <c:numCache>
                <c:formatCode>0.00</c:formatCode>
                <c:ptCount val="21"/>
                <c:pt idx="0">
                  <c:v>4.3402752746400379</c:v>
                </c:pt>
                <c:pt idx="1">
                  <c:v>4.3577315228424496</c:v>
                </c:pt>
                <c:pt idx="2">
                  <c:v>4.3753287533989411</c:v>
                </c:pt>
                <c:pt idx="3">
                  <c:v>4.3930686811635855</c:v>
                </c:pt>
                <c:pt idx="4">
                  <c:v>4.4109530489154274</c:v>
                </c:pt>
                <c:pt idx="5">
                  <c:v>4.4289836279292292</c:v>
                </c:pt>
                <c:pt idx="6">
                  <c:v>4.4471622185602628</c:v>
                </c:pt>
                <c:pt idx="7">
                  <c:v>4.4654906508435737</c:v>
                </c:pt>
                <c:pt idx="8">
                  <c:v>4.4839707851081165</c:v>
                </c:pt>
                <c:pt idx="9">
                  <c:v>4.5026045126062098</c:v>
                </c:pt>
                <c:pt idx="10">
                  <c:v>4.5213937561587434</c:v>
                </c:pt>
                <c:pt idx="11">
                  <c:v>4.5403404708166155</c:v>
                </c:pt>
                <c:pt idx="12">
                  <c:v>4.5594466445388671</c:v>
                </c:pt>
                <c:pt idx="13">
                  <c:v>4.5787142988880074</c:v>
                </c:pt>
                <c:pt idx="14">
                  <c:v>4.5981454897430529</c:v>
                </c:pt>
                <c:pt idx="15">
                  <c:v>4.6177423080307882</c:v>
                </c:pt>
                <c:pt idx="16">
                  <c:v>4.6375068804758159</c:v>
                </c:pt>
                <c:pt idx="17">
                  <c:v>4.6574413703699493</c:v>
                </c:pt>
                <c:pt idx="18">
                  <c:v>4.6775479783615257</c:v>
                </c:pt>
                <c:pt idx="19">
                  <c:v>4.6978289432652698</c:v>
                </c:pt>
                <c:pt idx="20">
                  <c:v>4.718286542893301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04096"/>
        <c:axId val="152006016"/>
      </c:scatterChart>
      <c:valAx>
        <c:axId val="152004096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44819002989193707"/>
              <c:y val="0.82301757375596341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152006016"/>
        <c:crosses val="autoZero"/>
        <c:crossBetween val="midCat"/>
      </c:valAx>
      <c:valAx>
        <c:axId val="152006016"/>
        <c:scaling>
          <c:orientation val="minMax"/>
        </c:scaling>
        <c:delete val="0"/>
        <c:axPos val="l"/>
        <c:majorGridlines/>
        <c:title>
          <c:tx>
            <c:rich>
              <a:bodyPr rot="-5400000" vert="horz" anchor="ctr" anchorCtr="1"/>
              <a:lstStyle/>
              <a:p>
                <a:pPr>
                  <a:defRPr/>
                </a:pPr>
                <a:r>
                  <a:rPr lang="en-GB"/>
                  <a:t>Payback Period</a:t>
                </a:r>
              </a:p>
            </c:rich>
          </c:tx>
          <c:layout>
            <c:manualLayout>
              <c:xMode val="edge"/>
              <c:yMode val="edge"/>
              <c:x val="0.44845638518067904"/>
              <c:y val="6.5692600456330547E-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1520040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3.1515397591875153E-5"/>
          <c:y val="0.8599364275445468"/>
          <c:w val="0.83315758861329026"/>
          <c:h val="9.221528303030462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Calcs!$B$102</c:f>
              <c:strCache>
                <c:ptCount val="1"/>
                <c:pt idx="0">
                  <c:v>Maintenance and operation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Calcs!$F$102</c:f>
              <c:numCache>
                <c:formatCode>"£"#,##0\ "k";[Red]\-"£"#,##0\ "k"</c:formatCode>
                <c:ptCount val="1"/>
                <c:pt idx="0">
                  <c:v>-27.568847857735843</c:v>
                </c:pt>
              </c:numCache>
            </c:numRef>
          </c:val>
        </c:ser>
        <c:ser>
          <c:idx val="2"/>
          <c:order val="1"/>
          <c:tx>
            <c:strRef>
              <c:f>Calcs!$B$103</c:f>
              <c:strCache>
                <c:ptCount val="1"/>
                <c:pt idx="0">
                  <c:v>Annual Energy Crop Cost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Calcs!$F$103</c:f>
              <c:numCache>
                <c:formatCode>"£"#,##0\ "k";[Red]\-"£"#,##0\ "k"</c:formatCode>
                <c:ptCount val="1"/>
                <c:pt idx="0">
                  <c:v>-46</c:v>
                </c:pt>
              </c:numCache>
            </c:numRef>
          </c:val>
        </c:ser>
        <c:ser>
          <c:idx val="3"/>
          <c:order val="2"/>
          <c:tx>
            <c:strRef>
              <c:f>Calcs!$B$85</c:f>
              <c:strCache>
                <c:ptCount val="1"/>
                <c:pt idx="0">
                  <c:v>Value of Displaced Electricity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Calcs!$E$85</c:f>
              <c:numCache>
                <c:formatCode>"£"#,##0\ "k";[Red]\-"£"#,##0\ "k"</c:formatCode>
                <c:ptCount val="1"/>
                <c:pt idx="0">
                  <c:v>5.0839999999999996</c:v>
                </c:pt>
              </c:numCache>
            </c:numRef>
          </c:val>
        </c:ser>
        <c:ser>
          <c:idx val="4"/>
          <c:order val="3"/>
          <c:tx>
            <c:strRef>
              <c:f>Calcs!$B$84</c:f>
              <c:strCache>
                <c:ptCount val="1"/>
                <c:pt idx="0">
                  <c:v>Income from Export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Calcs!$E$84</c:f>
              <c:numCache>
                <c:formatCode>"£"#,##0\ "k";[Red]\-"£"#,##0\ "k"</c:formatCode>
                <c:ptCount val="1"/>
                <c:pt idx="0">
                  <c:v>35.025657544338777</c:v>
                </c:pt>
              </c:numCache>
            </c:numRef>
          </c:val>
        </c:ser>
        <c:ser>
          <c:idx val="5"/>
          <c:order val="4"/>
          <c:tx>
            <c:strRef>
              <c:f>Calcs!$B$83</c:f>
              <c:strCache>
                <c:ptCount val="1"/>
                <c:pt idx="0">
                  <c:v>Income from Generation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Calcs!$E$83</c:f>
              <c:numCache>
                <c:formatCode>"£"#,##0\ "k";[Red]\-"£"#,##0\ "k"</c:formatCode>
                <c:ptCount val="1"/>
                <c:pt idx="0">
                  <c:v>119.28605642873389</c:v>
                </c:pt>
              </c:numCache>
            </c:numRef>
          </c:val>
        </c:ser>
        <c:ser>
          <c:idx val="6"/>
          <c:order val="5"/>
          <c:tx>
            <c:strRef>
              <c:f>Calcs!$B$93</c:f>
              <c:strCache>
                <c:ptCount val="1"/>
                <c:pt idx="0">
                  <c:v>Displaced heating costs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Calcs!$E$93</c:f>
              <c:numCache>
                <c:formatCode>"£"#,##0\ "k";[Red]\-"£"#,##0\ "k"</c:formatCode>
                <c:ptCount val="1"/>
                <c:pt idx="0">
                  <c:v>16.150199999999998</c:v>
                </c:pt>
              </c:numCache>
            </c:numRef>
          </c:val>
        </c:ser>
        <c:ser>
          <c:idx val="7"/>
          <c:order val="6"/>
          <c:tx>
            <c:strRef>
              <c:f>Calcs!$B$92</c:f>
              <c:strCache>
                <c:ptCount val="1"/>
                <c:pt idx="0">
                  <c:v>RHI Payments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Calcs!$F$92</c:f>
              <c:numCache>
                <c:formatCode>"£"#,##0\ "k";[Red]\-"£"#,##0\ "k"</c:formatCode>
                <c:ptCount val="1"/>
                <c:pt idx="0">
                  <c:v>19.64941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56963968"/>
        <c:axId val="156965504"/>
      </c:barChart>
      <c:catAx>
        <c:axId val="156963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6965504"/>
        <c:crosses val="autoZero"/>
        <c:auto val="1"/>
        <c:lblAlgn val="ctr"/>
        <c:lblOffset val="100"/>
        <c:noMultiLvlLbl val="0"/>
      </c:catAx>
      <c:valAx>
        <c:axId val="156965504"/>
        <c:scaling>
          <c:orientation val="minMax"/>
        </c:scaling>
        <c:delete val="0"/>
        <c:axPos val="l"/>
        <c:majorGridlines>
          <c:spPr>
            <a:ln w="12700"/>
          </c:spPr>
        </c:majorGridlines>
        <c:numFmt formatCode="&quot;£&quot;#,##0\ &quot;k&quot;;[Red]\-&quot;£&quot;#,##0\ &quot;k&quot;" sourceLinked="1"/>
        <c:majorTickMark val="out"/>
        <c:minorTickMark val="none"/>
        <c:tickLblPos val="nextTo"/>
        <c:crossAx val="156963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Calcs!$B$109</c:f>
              <c:strCache>
                <c:ptCount val="1"/>
                <c:pt idx="0">
                  <c:v>Net Revenue Benefit</c:v>
                </c:pt>
              </c:strCache>
            </c:strRef>
          </c:tx>
          <c:invertIfNegative val="0"/>
          <c:val>
            <c:numRef>
              <c:f>Calcs!$D$109</c:f>
              <c:numCache>
                <c:formatCode>"£"#,##0.00_);[Red]\("£"#,##0.00\)</c:formatCode>
                <c:ptCount val="1"/>
                <c:pt idx="0">
                  <c:v>121626.47611533685</c:v>
                </c:pt>
              </c:numCache>
            </c:numRef>
          </c:val>
        </c:ser>
        <c:ser>
          <c:idx val="1"/>
          <c:order val="1"/>
          <c:tx>
            <c:strRef>
              <c:f>Calcs!$B$63</c:f>
              <c:strCache>
                <c:ptCount val="1"/>
                <c:pt idx="0">
                  <c:v>Capital Cost</c:v>
                </c:pt>
              </c:strCache>
            </c:strRef>
          </c:tx>
          <c:invertIfNegative val="0"/>
          <c:val>
            <c:numRef>
              <c:f>Calcs!$D$63</c:f>
              <c:numCache>
                <c:formatCode>#,##0</c:formatCode>
                <c:ptCount val="1"/>
                <c:pt idx="0">
                  <c:v>818719.76453352883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121984"/>
        <c:axId val="156992256"/>
      </c:barChart>
      <c:catAx>
        <c:axId val="14212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6992256"/>
        <c:crosses val="autoZero"/>
        <c:auto val="1"/>
        <c:lblAlgn val="ctr"/>
        <c:lblOffset val="100"/>
        <c:noMultiLvlLbl val="0"/>
      </c:catAx>
      <c:valAx>
        <c:axId val="156992256"/>
        <c:scaling>
          <c:orientation val="minMax"/>
        </c:scaling>
        <c:delete val="0"/>
        <c:axPos val="l"/>
        <c:majorGridlines/>
        <c:numFmt formatCode="&quot;£&quot;#,##0.00_);[Red]\(&quot;£&quot;#,##0.00\)" sourceLinked="1"/>
        <c:majorTickMark val="out"/>
        <c:minorTickMark val="none"/>
        <c:tickLblPos val="nextTo"/>
        <c:crossAx val="14212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75000"/>
                  </a:schemeClr>
                </a:gs>
                <a:gs pos="53000">
                  <a:schemeClr val="tx2">
                    <a:lumMod val="60000"/>
                    <a:lumOff val="40000"/>
                  </a:schemeClr>
                </a:gs>
                <a:gs pos="83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0"/>
                    <a:lumOff val="100000"/>
                  </a:schemeClr>
                </a:gs>
              </a:gsLst>
              <a:lin ang="19200000" scaled="0"/>
            </a:gra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Calcs!$B$112:$B$127</c:f>
              <c:numCache>
                <c:formatCode>#,##0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Calcs!$F$112:$F$127</c:f>
              <c:numCache>
                <c:formatCode>"£"#,##0\ "k";[Red]\-"£"#,##0\ "k"</c:formatCode>
                <c:ptCount val="16"/>
                <c:pt idx="0">
                  <c:v>-818.71976453352886</c:v>
                </c:pt>
                <c:pt idx="1">
                  <c:v>-697.09328841819195</c:v>
                </c:pt>
                <c:pt idx="2">
                  <c:v>-575.46681230285503</c:v>
                </c:pt>
                <c:pt idx="3">
                  <c:v>-453.84033618751818</c:v>
                </c:pt>
                <c:pt idx="4">
                  <c:v>-332.21386007218132</c:v>
                </c:pt>
                <c:pt idx="5">
                  <c:v>-210.58738395684449</c:v>
                </c:pt>
                <c:pt idx="6">
                  <c:v>-88.960907841507634</c:v>
                </c:pt>
                <c:pt idx="7">
                  <c:v>32.665568273829209</c:v>
                </c:pt>
                <c:pt idx="8">
                  <c:v>154.29204438916605</c:v>
                </c:pt>
                <c:pt idx="9">
                  <c:v>275.91852050450291</c:v>
                </c:pt>
                <c:pt idx="10">
                  <c:v>397.54499661983982</c:v>
                </c:pt>
                <c:pt idx="11">
                  <c:v>519.17147273517662</c:v>
                </c:pt>
                <c:pt idx="12">
                  <c:v>640.79794885051354</c:v>
                </c:pt>
                <c:pt idx="13">
                  <c:v>762.42442496585045</c:v>
                </c:pt>
                <c:pt idx="14">
                  <c:v>884.05090108118725</c:v>
                </c:pt>
                <c:pt idx="15">
                  <c:v>1005.6773771965242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04160"/>
        <c:axId val="157005696"/>
      </c:areaChart>
      <c:catAx>
        <c:axId val="15700416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157005696"/>
        <c:crosses val="autoZero"/>
        <c:auto val="1"/>
        <c:lblAlgn val="ctr"/>
        <c:lblOffset val="100"/>
        <c:noMultiLvlLbl val="0"/>
      </c:catAx>
      <c:valAx>
        <c:axId val="157005696"/>
        <c:scaling>
          <c:orientation val="minMax"/>
        </c:scaling>
        <c:delete val="0"/>
        <c:axPos val="l"/>
        <c:majorGridlines/>
        <c:numFmt formatCode="&quot;£&quot;#,##0\ &quot;k&quot;;[Red]\-&quot;£&quot;#,##0\ &quot;k&quot;" sourceLinked="1"/>
        <c:majorTickMark val="out"/>
        <c:minorTickMark val="none"/>
        <c:tickLblPos val="nextTo"/>
        <c:crossAx val="15700416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Calcs!$G$72</c:f>
              <c:strCache>
                <c:ptCount val="1"/>
                <c:pt idx="0">
                  <c:v>Heat</c:v>
                </c:pt>
              </c:strCache>
            </c:strRef>
          </c:tx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Calcs!$G$73:$G$74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Calcs!$H$72</c:f>
              <c:strCache>
                <c:ptCount val="1"/>
                <c:pt idx="0">
                  <c:v>Electricity</c:v>
                </c:pt>
              </c:strCache>
            </c:strRef>
          </c:tx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Calcs!$H$73:$H$74</c:f>
              <c:numCache>
                <c:formatCode>0%</c:formatCode>
                <c:ptCount val="2"/>
                <c:pt idx="0">
                  <c:v>30.953868525586476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70335734791322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Analysis'!$S$26</c:f>
              <c:strCache>
                <c:ptCount val="1"/>
                <c:pt idx="0">
                  <c:v> Crop Yield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Analysis'!$S$27:$S$47</c:f>
              <c:numCache>
                <c:formatCode>0.00%</c:formatCode>
                <c:ptCount val="21"/>
                <c:pt idx="0">
                  <c:v>5.5480096149469554E-2</c:v>
                </c:pt>
                <c:pt idx="1">
                  <c:v>4.9740839506924768E-2</c:v>
                </c:pt>
                <c:pt idx="2">
                  <c:v>4.4045389213856333E-2</c:v>
                </c:pt>
                <c:pt idx="3">
                  <c:v>3.8393249052625693E-2</c:v>
                </c:pt>
                <c:pt idx="4">
                  <c:v>3.2783925959352589E-2</c:v>
                </c:pt>
                <c:pt idx="5">
                  <c:v>2.7216930320789093E-2</c:v>
                </c:pt>
                <c:pt idx="6">
                  <c:v>2.1691776239056045E-2</c:v>
                </c:pt>
                <c:pt idx="7">
                  <c:v>1.6207981766936799E-2</c:v>
                </c:pt>
                <c:pt idx="8">
                  <c:v>1.0765069116197712E-2</c:v>
                </c:pt>
                <c:pt idx="9">
                  <c:v>5.3625648412182272E-3</c:v>
                </c:pt>
                <c:pt idx="10">
                  <c:v>0</c:v>
                </c:pt>
                <c:pt idx="11">
                  <c:v>0.6591774848202312</c:v>
                </c:pt>
                <c:pt idx="12">
                  <c:v>0.65050179940101638</c:v>
                </c:pt>
                <c:pt idx="13">
                  <c:v>0.64188163554043332</c:v>
                </c:pt>
                <c:pt idx="14">
                  <c:v>0.63331661372437109</c:v>
                </c:pt>
                <c:pt idx="15">
                  <c:v>0.62480634719127992</c:v>
                </c:pt>
                <c:pt idx="16">
                  <c:v>0.61635044275262085</c:v>
                </c:pt>
                <c:pt idx="17">
                  <c:v>0.60794850155664704</c:v>
                </c:pt>
                <c:pt idx="18">
                  <c:v>0.59960011979929106</c:v>
                </c:pt>
                <c:pt idx="19">
                  <c:v>0.59130488938570991</c:v>
                </c:pt>
                <c:pt idx="20">
                  <c:v>0.58306239854573638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'Sensitivity Analysis'!$T$26</c:f>
              <c:strCache>
                <c:ptCount val="1"/>
                <c:pt idx="0">
                  <c:v> Digester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Analysis'!$T$27:$T$47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'Sensitivity Analysis'!$W$26</c:f>
              <c:strCache>
                <c:ptCount val="1"/>
                <c:pt idx="0">
                  <c:v> Electricity Price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Analysis'!$W$27:$W$47</c:f>
              <c:numCache>
                <c:formatCode>0.00%</c:formatCode>
                <c:ptCount val="21"/>
                <c:pt idx="0">
                  <c:v>8.168091588747295E-4</c:v>
                </c:pt>
                <c:pt idx="1">
                  <c:v>7.2698465705045101E-4</c:v>
                </c:pt>
                <c:pt idx="2">
                  <c:v>6.3912846216697904E-4</c:v>
                </c:pt>
                <c:pt idx="3">
                  <c:v>5.5317657869070305E-4</c:v>
                </c:pt>
                <c:pt idx="4">
                  <c:v>4.6906775559219248E-4</c:v>
                </c:pt>
                <c:pt idx="5">
                  <c:v>3.8674334078110748E-4</c:v>
                </c:pt>
                <c:pt idx="6">
                  <c:v>3.0614714470833266E-4</c:v>
                </c:pt>
                <c:pt idx="7">
                  <c:v>2.2722531246861872E-4</c:v>
                </c:pt>
                <c:pt idx="8">
                  <c:v>1.499262037961461E-4</c:v>
                </c:pt>
                <c:pt idx="9">
                  <c:v>7.4200280380587658E-5</c:v>
                </c:pt>
                <c:pt idx="10">
                  <c:v>0</c:v>
                </c:pt>
                <c:pt idx="11">
                  <c:v>-7.2720283016232325E-5</c:v>
                </c:pt>
                <c:pt idx="12">
                  <c:v>-1.4400441142263694E-4</c:v>
                </c:pt>
                <c:pt idx="13">
                  <c:v>-2.1389451320379661E-4</c:v>
                </c:pt>
                <c:pt idx="14">
                  <c:v>-2.8243108459598596E-4</c:v>
                </c:pt>
                <c:pt idx="15">
                  <c:v>-3.4965306833435657E-4</c:v>
                </c:pt>
                <c:pt idx="16">
                  <c:v>-4.1559792743663305E-4</c:v>
                </c:pt>
                <c:pt idx="17">
                  <c:v>-4.8030171482603336E-4</c:v>
                </c:pt>
                <c:pt idx="18">
                  <c:v>-5.4379913905448015E-4</c:v>
                </c:pt>
                <c:pt idx="19">
                  <c:v>-6.0612362638815377E-4</c:v>
                </c:pt>
                <c:pt idx="20">
                  <c:v>-6.6730737948089789E-4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'Sensitivity Analysis'!$U$26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Analysis'!$U$27:$U$47</c:f>
              <c:numCache>
                <c:formatCode>0.00%</c:formatCode>
                <c:ptCount val="21"/>
                <c:pt idx="0">
                  <c:v>-4.0058108469760649E-2</c:v>
                </c:pt>
                <c:pt idx="1">
                  <c:v>-3.6197297148332627E-2</c:v>
                </c:pt>
                <c:pt idx="2">
                  <c:v>-3.2305304655415645E-2</c:v>
                </c:pt>
                <c:pt idx="3">
                  <c:v>-2.8381751715466488E-2</c:v>
                </c:pt>
                <c:pt idx="4">
                  <c:v>-2.442625287675531E-2</c:v>
                </c:pt>
                <c:pt idx="5">
                  <c:v>-2.0438416385133291E-2</c:v>
                </c:pt>
                <c:pt idx="6">
                  <c:v>-1.6417844054693813E-2</c:v>
                </c:pt>
                <c:pt idx="7">
                  <c:v>-1.2364131135232851E-2</c:v>
                </c:pt>
                <c:pt idx="8">
                  <c:v>-8.2768661764199957E-3</c:v>
                </c:pt>
                <c:pt idx="9">
                  <c:v>-4.1556308885816852E-3</c:v>
                </c:pt>
                <c:pt idx="10">
                  <c:v>0</c:v>
                </c:pt>
                <c:pt idx="11">
                  <c:v>4.190458889377675E-3</c:v>
                </c:pt>
                <c:pt idx="12">
                  <c:v>8.4161854579222466E-3</c:v>
                </c:pt>
                <c:pt idx="13">
                  <c:v>1.2677626816108586E-2</c:v>
                </c:pt>
                <c:pt idx="14">
                  <c:v>1.6975237664218781E-2</c:v>
                </c:pt>
                <c:pt idx="15">
                  <c:v>2.1309480454075738E-2</c:v>
                </c:pt>
                <c:pt idx="16">
                  <c:v>2.5680825554932243E-2</c:v>
                </c:pt>
                <c:pt idx="17">
                  <c:v>3.0089751423638091E-2</c:v>
                </c:pt>
                <c:pt idx="18">
                  <c:v>3.4536744779213126E-2</c:v>
                </c:pt>
                <c:pt idx="19">
                  <c:v>3.9022300781965308E-2</c:v>
                </c:pt>
                <c:pt idx="20">
                  <c:v>4.3546923217285212E-2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01248"/>
        <c:axId val="157703168"/>
      </c:scatterChart>
      <c:valAx>
        <c:axId val="157701248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0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37589823065638633"/>
              <c:y val="0.81675547075020516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157703168"/>
        <c:crosses val="autoZero"/>
        <c:crossBetween val="midCat"/>
      </c:valAx>
      <c:valAx>
        <c:axId val="157703168"/>
        <c:scaling>
          <c:orientation val="minMax"/>
          <c:max val="0.1"/>
          <c:min val="-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b="0"/>
                  <a:t>Payback</a:t>
                </a:r>
                <a:r>
                  <a:rPr lang="en-GB" b="0" baseline="0"/>
                  <a:t> change (%)</a:t>
                </a:r>
                <a:endParaRPr lang="en-GB" b="0"/>
              </a:p>
            </c:rich>
          </c:tx>
          <c:layout>
            <c:manualLayout>
              <c:xMode val="edge"/>
              <c:yMode val="edge"/>
              <c:x val="9.2493555536670678E-3"/>
              <c:y val="0.286954736486160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5770124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476454062985744E-2"/>
          <c:y val="0.85993647649871974"/>
          <c:w val="0.94829757742879828"/>
          <c:h val="0.1400635235012801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800" b="1" i="0" baseline="0">
                <a:effectLst/>
              </a:rPr>
              <a:t>Maize and cattle slurry payback surface</a:t>
            </a:r>
            <a:endParaRPr lang="en-GB">
              <a:effectLst/>
            </a:endParaRPr>
          </a:p>
        </c:rich>
      </c:tx>
      <c:overlay val="0"/>
    </c:title>
    <c:autoTitleDeleted val="0"/>
    <c:view3D>
      <c:rotX val="15"/>
      <c:rotY val="16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0732408448943879E-2"/>
          <c:y val="0.10799502934075308"/>
          <c:w val="0.80007635409210198"/>
          <c:h val="0.77328389889166582"/>
        </c:manualLayout>
      </c:layout>
      <c:surface3DChart>
        <c:wireframe val="0"/>
        <c:ser>
          <c:idx val="0"/>
          <c:order val="0"/>
          <c:tx>
            <c:strRef>
              <c:f>Sheet1!$B$7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Sheet1!$B$8:$B$14</c:f>
              <c:numCache>
                <c:formatCode>General</c:formatCode>
                <c:ptCount val="7"/>
                <c:pt idx="0">
                  <c:v>13</c:v>
                </c:pt>
                <c:pt idx="1">
                  <c:v>12.866707216478153</c:v>
                </c:pt>
                <c:pt idx="2">
                  <c:v>8.6443322849664188</c:v>
                </c:pt>
                <c:pt idx="3">
                  <c:v>7.6370530641705709</c:v>
                </c:pt>
                <c:pt idx="4">
                  <c:v>6.3372361741021459</c:v>
                </c:pt>
                <c:pt idx="5">
                  <c:v>5.4156314455398311</c:v>
                </c:pt>
                <c:pt idx="6">
                  <c:v>8.787869767759835</c:v>
                </c:pt>
              </c:numCache>
            </c:numRef>
          </c:val>
        </c:ser>
        <c:ser>
          <c:idx val="1"/>
          <c:order val="1"/>
          <c:tx>
            <c:strRef>
              <c:f>Sheet1!$C$7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Sheet1!$C$8:$C$14</c:f>
              <c:numCache>
                <c:formatCode>General</c:formatCode>
                <c:ptCount val="7"/>
                <c:pt idx="0">
                  <c:v>12.68250364353724</c:v>
                </c:pt>
                <c:pt idx="1">
                  <c:v>9.7201840042922125</c:v>
                </c:pt>
                <c:pt idx="2">
                  <c:v>7.5119351720945673</c:v>
                </c:pt>
                <c:pt idx="3">
                  <c:v>6.8924055950447238</c:v>
                </c:pt>
                <c:pt idx="4">
                  <c:v>5.855404333220573</c:v>
                </c:pt>
                <c:pt idx="5">
                  <c:v>9.3473753138516464</c:v>
                </c:pt>
                <c:pt idx="6">
                  <c:v>8.1051063495526883</c:v>
                </c:pt>
              </c:numCache>
            </c:numRef>
          </c:val>
        </c:ser>
        <c:ser>
          <c:idx val="2"/>
          <c:order val="2"/>
          <c:tx>
            <c:strRef>
              <c:f>Sheet1!$D$7</c:f>
              <c:strCache>
                <c:ptCount val="1"/>
                <c:pt idx="0">
                  <c:v>400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Sheet1!$D$8:$D$14</c:f>
              <c:numCache>
                <c:formatCode>General</c:formatCode>
                <c:ptCount val="7"/>
                <c:pt idx="0">
                  <c:v>9.1117281792432454</c:v>
                </c:pt>
                <c:pt idx="1">
                  <c:v>8.1135842957047473</c:v>
                </c:pt>
                <c:pt idx="2">
                  <c:v>6.7102508141722996</c:v>
                </c:pt>
                <c:pt idx="3">
                  <c:v>6.3076521368268494</c:v>
                </c:pt>
                <c:pt idx="4">
                  <c:v>5.4520634909333205</c:v>
                </c:pt>
                <c:pt idx="5">
                  <c:v>8.5769229734766768</c:v>
                </c:pt>
                <c:pt idx="6">
                  <c:v>7.5258220241295675</c:v>
                </c:pt>
              </c:numCache>
            </c:numRef>
          </c:val>
        </c:ser>
        <c:ser>
          <c:idx val="3"/>
          <c:order val="3"/>
          <c:tx>
            <c:strRef>
              <c:f>Sheet1!$E$7</c:f>
              <c:strCache>
                <c:ptCount val="1"/>
                <c:pt idx="0">
                  <c:v>600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Sheet1!$E$8:$E$14</c:f>
              <c:numCache>
                <c:formatCode>General</c:formatCode>
                <c:ptCount val="7"/>
                <c:pt idx="0">
                  <c:v>7.6866600631798399</c:v>
                </c:pt>
                <c:pt idx="1">
                  <c:v>7.1058178867101764</c:v>
                </c:pt>
                <c:pt idx="2">
                  <c:v>6.7287032434733227</c:v>
                </c:pt>
                <c:pt idx="3">
                  <c:v>5.8327872111522048</c:v>
                </c:pt>
                <c:pt idx="4">
                  <c:v>5.107838045648875</c:v>
                </c:pt>
                <c:pt idx="5">
                  <c:v>7.933521445599836</c:v>
                </c:pt>
                <c:pt idx="6">
                  <c:v>7.0267574449585339</c:v>
                </c:pt>
              </c:numCache>
            </c:numRef>
          </c:val>
        </c:ser>
        <c:ser>
          <c:idx val="4"/>
          <c:order val="4"/>
          <c:tx>
            <c:strRef>
              <c:f>Sheet1!$F$7</c:f>
              <c:strCache>
                <c:ptCount val="1"/>
                <c:pt idx="0">
                  <c:v>800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Sheet1!$F$8:$F$14</c:f>
              <c:numCache>
                <c:formatCode>General</c:formatCode>
                <c:ptCount val="7"/>
                <c:pt idx="0">
                  <c:v>6.8286062668948588</c:v>
                </c:pt>
                <c:pt idx="1">
                  <c:v>6.397111490266119</c:v>
                </c:pt>
                <c:pt idx="2">
                  <c:v>6.1754989700150622</c:v>
                </c:pt>
                <c:pt idx="3">
                  <c:v>5.4369383117701666</c:v>
                </c:pt>
                <c:pt idx="4">
                  <c:v>4.8093419903428059</c:v>
                </c:pt>
                <c:pt idx="5">
                  <c:v>7.3863018306778416</c:v>
                </c:pt>
                <c:pt idx="6">
                  <c:v>6.5911962123362624</c:v>
                </c:pt>
              </c:numCache>
            </c:numRef>
          </c:val>
        </c:ser>
        <c:bandFmts/>
        <c:axId val="157778688"/>
        <c:axId val="157780608"/>
        <c:axId val="157773824"/>
      </c:surface3DChart>
      <c:catAx>
        <c:axId val="157778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Area of maize (ha)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57780608"/>
        <c:crosses val="autoZero"/>
        <c:auto val="1"/>
        <c:lblAlgn val="ctr"/>
        <c:lblOffset val="100"/>
        <c:noMultiLvlLbl val="0"/>
      </c:catAx>
      <c:valAx>
        <c:axId val="157780608"/>
        <c:scaling>
          <c:orientation val="minMax"/>
        </c:scaling>
        <c:delete val="0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Payback</a:t>
                </a:r>
                <a:r>
                  <a:rPr lang="en-GB" baseline="0"/>
                  <a:t> period (Years)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626092193021332"/>
              <c:y val="0.339158168858928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157778688"/>
        <c:crosses val="autoZero"/>
        <c:crossBetween val="midCat"/>
      </c:valAx>
      <c:serAx>
        <c:axId val="157773824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Head of cattle</a:t>
                </a:r>
              </a:p>
            </c:rich>
          </c:tx>
          <c:overlay val="0"/>
        </c:title>
        <c:majorTickMark val="none"/>
        <c:minorTickMark val="none"/>
        <c:tickLblPos val="nextTo"/>
        <c:crossAx val="157780608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0" workbookViewId="0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chart" Target="../charts/chart4.xml"/><Relationship Id="rId7" Type="http://schemas.openxmlformats.org/officeDocument/2006/relationships/image" Target="../media/image11.jpeg"/><Relationship Id="rId2" Type="http://schemas.openxmlformats.org/officeDocument/2006/relationships/chart" Target="../charts/chart3.xml"/><Relationship Id="rId1" Type="http://schemas.openxmlformats.org/officeDocument/2006/relationships/image" Target="../media/image7.jpeg"/><Relationship Id="rId6" Type="http://schemas.openxmlformats.org/officeDocument/2006/relationships/image" Target="../media/image10.jpeg"/><Relationship Id="rId5" Type="http://schemas.openxmlformats.org/officeDocument/2006/relationships/image" Target="../media/image9.png"/><Relationship Id="rId10" Type="http://schemas.openxmlformats.org/officeDocument/2006/relationships/chart" Target="../charts/chart6.xml"/><Relationship Id="rId4" Type="http://schemas.openxmlformats.org/officeDocument/2006/relationships/image" Target="../media/image8.jpe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440531</xdr:colOff>
      <xdr:row>9</xdr:row>
      <xdr:rowOff>238126</xdr:rowOff>
    </xdr:from>
    <xdr:to>
      <xdr:col>10</xdr:col>
      <xdr:colOff>289218</xdr:colOff>
      <xdr:row>20</xdr:row>
      <xdr:rowOff>118545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416718</xdr:colOff>
      <xdr:row>0</xdr:row>
      <xdr:rowOff>39446</xdr:rowOff>
    </xdr:from>
    <xdr:to>
      <xdr:col>10</xdr:col>
      <xdr:colOff>265405</xdr:colOff>
      <xdr:row>9</xdr:row>
      <xdr:rowOff>154782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66675</xdr:rowOff>
        </xdr:from>
        <xdr:to>
          <xdr:col>4</xdr:col>
          <xdr:colOff>0</xdr:colOff>
          <xdr:row>22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 feasibility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5</xdr:row>
          <xdr:rowOff>76200</xdr:rowOff>
        </xdr:from>
        <xdr:to>
          <xdr:col>8</xdr:col>
          <xdr:colOff>523875</xdr:colOff>
          <xdr:row>5</xdr:row>
          <xdr:rowOff>352425</xdr:rowOff>
        </xdr:to>
        <xdr:sp macro="" textlink="">
          <xdr:nvSpPr>
            <xdr:cNvPr id="8194" name="ScrollBar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8</xdr:row>
          <xdr:rowOff>66675</xdr:rowOff>
        </xdr:from>
        <xdr:to>
          <xdr:col>8</xdr:col>
          <xdr:colOff>523875</xdr:colOff>
          <xdr:row>8</xdr:row>
          <xdr:rowOff>333375</xdr:rowOff>
        </xdr:to>
        <xdr:sp macro="" textlink="">
          <xdr:nvSpPr>
            <xdr:cNvPr id="8195" name="ScrollBar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13</xdr:row>
          <xdr:rowOff>123825</xdr:rowOff>
        </xdr:from>
        <xdr:to>
          <xdr:col>10</xdr:col>
          <xdr:colOff>171450</xdr:colOff>
          <xdr:row>14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0" i="0" u="none" strike="noStrike" baseline="0">
                  <a:solidFill>
                    <a:srgbClr val="000000"/>
                  </a:solidFill>
                  <a:latin typeface="Calibri"/>
                </a:rPr>
                <a:t>Sensitivity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6</xdr:row>
          <xdr:rowOff>76200</xdr:rowOff>
        </xdr:from>
        <xdr:to>
          <xdr:col>8</xdr:col>
          <xdr:colOff>523875</xdr:colOff>
          <xdr:row>6</xdr:row>
          <xdr:rowOff>342900</xdr:rowOff>
        </xdr:to>
        <xdr:sp macro="" textlink="">
          <xdr:nvSpPr>
            <xdr:cNvPr id="8198" name="ScrollBar3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9</xdr:row>
          <xdr:rowOff>47625</xdr:rowOff>
        </xdr:from>
        <xdr:to>
          <xdr:col>8</xdr:col>
          <xdr:colOff>523875</xdr:colOff>
          <xdr:row>9</xdr:row>
          <xdr:rowOff>314325</xdr:rowOff>
        </xdr:to>
        <xdr:sp macro="" textlink="">
          <xdr:nvSpPr>
            <xdr:cNvPr id="8200" name="ScrollBar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39184</xdr:row>
          <xdr:rowOff>133350</xdr:rowOff>
        </xdr:from>
        <xdr:to>
          <xdr:col>6</xdr:col>
          <xdr:colOff>590550</xdr:colOff>
          <xdr:row>39186</xdr:row>
          <xdr:rowOff>57150</xdr:rowOff>
        </xdr:to>
        <xdr:sp macro="" textlink="">
          <xdr:nvSpPr>
            <xdr:cNvPr id="8201" name="ScrollBar5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10</xdr:row>
          <xdr:rowOff>38100</xdr:rowOff>
        </xdr:from>
        <xdr:to>
          <xdr:col>8</xdr:col>
          <xdr:colOff>523875</xdr:colOff>
          <xdr:row>10</xdr:row>
          <xdr:rowOff>314325</xdr:rowOff>
        </xdr:to>
        <xdr:sp macro="" textlink="">
          <xdr:nvSpPr>
            <xdr:cNvPr id="8202" name="ScrollBar6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179294</xdr:colOff>
      <xdr:row>0</xdr:row>
      <xdr:rowOff>292342</xdr:rowOff>
    </xdr:from>
    <xdr:to>
      <xdr:col>0</xdr:col>
      <xdr:colOff>2662517</xdr:colOff>
      <xdr:row>4</xdr:row>
      <xdr:rowOff>161818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292342"/>
          <a:ext cx="2483223" cy="587453"/>
        </a:xfrm>
        <a:prstGeom prst="rect">
          <a:avLst/>
        </a:prstGeom>
      </xdr:spPr>
    </xdr:pic>
    <xdr:clientData/>
  </xdr:twoCellAnchor>
  <xdr:twoCellAnchor>
    <xdr:from>
      <xdr:col>11</xdr:col>
      <xdr:colOff>58139</xdr:colOff>
      <xdr:row>15</xdr:row>
      <xdr:rowOff>58432</xdr:rowOff>
    </xdr:from>
    <xdr:to>
      <xdr:col>24</xdr:col>
      <xdr:colOff>44823</xdr:colOff>
      <xdr:row>28</xdr:row>
      <xdr:rowOff>244929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36738</xdr:colOff>
      <xdr:row>5</xdr:row>
      <xdr:rowOff>40821</xdr:rowOff>
    </xdr:from>
    <xdr:to>
      <xdr:col>24</xdr:col>
      <xdr:colOff>27213</xdr:colOff>
      <xdr:row>14</xdr:row>
      <xdr:rowOff>380999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815004</xdr:colOff>
      <xdr:row>0</xdr:row>
      <xdr:rowOff>278467</xdr:rowOff>
    </xdr:from>
    <xdr:to>
      <xdr:col>4</xdr:col>
      <xdr:colOff>343236</xdr:colOff>
      <xdr:row>4</xdr:row>
      <xdr:rowOff>243729</xdr:rowOff>
    </xdr:to>
    <xdr:pic>
      <xdr:nvPicPr>
        <xdr:cNvPr id="18" name="Picture 1" descr="http://domain786028.sites.fasthosts.com/basecamp/atiprojects/atiprojects/greenwatt_logo3.jp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0857" y="278467"/>
          <a:ext cx="1926291" cy="615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4095973</xdr:colOff>
      <xdr:row>0</xdr:row>
      <xdr:rowOff>214874</xdr:rowOff>
    </xdr:from>
    <xdr:to>
      <xdr:col>2</xdr:col>
      <xdr:colOff>678180</xdr:colOff>
      <xdr:row>4</xdr:row>
      <xdr:rowOff>307322</xdr:rowOff>
    </xdr:to>
    <xdr:pic>
      <xdr:nvPicPr>
        <xdr:cNvPr id="19" name="Picture 1" descr="Description: Description: Description: Description: Description: Description: Description: Description: Description: Description: Description: cid:image001.png@01CC8F09.ADB5761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084"/>
        <a:stretch/>
      </xdr:blipFill>
      <xdr:spPr bwMode="auto">
        <a:xfrm>
          <a:off x="4095973" y="214874"/>
          <a:ext cx="2398060" cy="7423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2799341</xdr:colOff>
      <xdr:row>3</xdr:row>
      <xdr:rowOff>41764</xdr:rowOff>
    </xdr:from>
    <xdr:to>
      <xdr:col>0</xdr:col>
      <xdr:colOff>3877235</xdr:colOff>
      <xdr:row>4</xdr:row>
      <xdr:rowOff>187920</xdr:rowOff>
    </xdr:to>
    <xdr:pic>
      <xdr:nvPicPr>
        <xdr:cNvPr id="20" name="Picture 2" descr="EBRI logo small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9341" y="366735"/>
          <a:ext cx="1077894" cy="549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638737</xdr:colOff>
      <xdr:row>0</xdr:row>
      <xdr:rowOff>313765</xdr:rowOff>
    </xdr:from>
    <xdr:to>
      <xdr:col>8</xdr:col>
      <xdr:colOff>15080</xdr:colOff>
      <xdr:row>4</xdr:row>
      <xdr:rowOff>221317</xdr:rowOff>
    </xdr:to>
    <xdr:pic>
      <xdr:nvPicPr>
        <xdr:cNvPr id="21" name="Picture 3" descr="cid:image002.jpg@01CD0C37.D402F2B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5737" y="313765"/>
          <a:ext cx="945167" cy="6359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480059</xdr:colOff>
      <xdr:row>0</xdr:row>
      <xdr:rowOff>197785</xdr:rowOff>
    </xdr:from>
    <xdr:to>
      <xdr:col>6</xdr:col>
      <xdr:colOff>504264</xdr:colOff>
      <xdr:row>4</xdr:row>
      <xdr:rowOff>257736</xdr:rowOff>
    </xdr:to>
    <xdr:pic>
      <xdr:nvPicPr>
        <xdr:cNvPr id="22" name="Picture 4" descr="cid:image002.jpg@01CD1244.537FC1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EFEFC"/>
            </a:clrFrom>
            <a:clrTo>
              <a:srgbClr val="FEFEFC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8235" y="197785"/>
          <a:ext cx="1593029" cy="7883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56903</xdr:colOff>
      <xdr:row>15</xdr:row>
      <xdr:rowOff>218949</xdr:rowOff>
    </xdr:from>
    <xdr:to>
      <xdr:col>6</xdr:col>
      <xdr:colOff>260961</xdr:colOff>
      <xdr:row>23</xdr:row>
      <xdr:rowOff>23833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40820</xdr:colOff>
      <xdr:row>15</xdr:row>
      <xdr:rowOff>218949</xdr:rowOff>
    </xdr:from>
    <xdr:to>
      <xdr:col>10</xdr:col>
      <xdr:colOff>100301</xdr:colOff>
      <xdr:row>23</xdr:row>
      <xdr:rowOff>23833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12</xdr:row>
          <xdr:rowOff>9525</xdr:rowOff>
        </xdr:from>
        <xdr:to>
          <xdr:col>10</xdr:col>
          <xdr:colOff>190500</xdr:colOff>
          <xdr:row>13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GB" sz="2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Farm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14</xdr:row>
          <xdr:rowOff>180975</xdr:rowOff>
        </xdr:from>
        <xdr:to>
          <xdr:col>10</xdr:col>
          <xdr:colOff>209550</xdr:colOff>
          <xdr:row>15</xdr:row>
          <xdr:rowOff>152400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GB" sz="2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Sensitivity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0.60921</cdr:x>
      <cdr:y>0.18272</cdr:y>
    </cdr:from>
    <cdr:to>
      <cdr:x>0.76879</cdr:x>
      <cdr:y>0.25953</cdr:y>
    </cdr:to>
    <cdr:sp macro="" textlink="">
      <cdr:nvSpPr>
        <cdr:cNvPr id="2" name="Right Arrow 1"/>
        <cdr:cNvSpPr/>
      </cdr:nvSpPr>
      <cdr:spPr>
        <a:xfrm xmlns:a="http://schemas.openxmlformats.org/drawingml/2006/main" rot="20075274">
          <a:off x="5672235" y="1111688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solidFill>
            <a:schemeClr val="accent2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Less</a:t>
          </a:r>
          <a:r>
            <a:rPr lang="en-US" baseline="0">
              <a:solidFill>
                <a:sysClr val="windowText" lastClr="000000"/>
              </a:solidFill>
            </a:rPr>
            <a:t> attractive</a:t>
          </a:r>
          <a:endParaRPr lang="en-US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0.23318</cdr:x>
      <cdr:y>0.18272</cdr:y>
    </cdr:from>
    <cdr:to>
      <cdr:x>0.39276</cdr:x>
      <cdr:y>0.25953</cdr:y>
    </cdr:to>
    <cdr:sp macro="" textlink="">
      <cdr:nvSpPr>
        <cdr:cNvPr id="3" name="Right Arrow 2"/>
        <cdr:cNvSpPr/>
      </cdr:nvSpPr>
      <cdr:spPr>
        <a:xfrm xmlns:a="http://schemas.openxmlformats.org/drawingml/2006/main" rot="1524726" flipH="1">
          <a:off x="2171148" y="1111688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solidFill>
            <a:schemeClr val="accent2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Less</a:t>
          </a:r>
          <a:r>
            <a:rPr lang="en-US" baseline="0">
              <a:solidFill>
                <a:sysClr val="windowText" lastClr="000000"/>
              </a:solidFill>
            </a:rPr>
            <a:t> attractive</a:t>
          </a:r>
          <a:endParaRPr lang="en-US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0.61098</cdr:x>
      <cdr:y>0.57126</cdr:y>
    </cdr:from>
    <cdr:to>
      <cdr:x>0.77056</cdr:x>
      <cdr:y>0.64807</cdr:y>
    </cdr:to>
    <cdr:sp macro="" textlink="">
      <cdr:nvSpPr>
        <cdr:cNvPr id="4" name="Right Arrow 3"/>
        <cdr:cNvSpPr/>
      </cdr:nvSpPr>
      <cdr:spPr>
        <a:xfrm xmlns:a="http://schemas.openxmlformats.org/drawingml/2006/main" rot="1765071">
          <a:off x="5688801" y="3475660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3">
            <a:lumMod val="60000"/>
            <a:lumOff val="40000"/>
          </a:schemeClr>
        </a:solidFill>
        <a:ln xmlns:a="http://schemas.openxmlformats.org/drawingml/2006/main">
          <a:solidFill>
            <a:schemeClr val="accent3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3">
            <a:shade val="50000"/>
          </a:schemeClr>
        </a:lnRef>
        <a:fillRef xmlns:a="http://schemas.openxmlformats.org/drawingml/2006/main" idx="1">
          <a:schemeClr val="accent3"/>
        </a:fillRef>
        <a:effectRef xmlns:a="http://schemas.openxmlformats.org/drawingml/2006/main" idx="0">
          <a:schemeClr val="accent3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More attractive</a:t>
          </a:r>
        </a:p>
      </cdr:txBody>
    </cdr:sp>
  </cdr:relSizeAnchor>
  <cdr:relSizeAnchor xmlns:cdr="http://schemas.openxmlformats.org/drawingml/2006/chartDrawing">
    <cdr:from>
      <cdr:x>0.23318</cdr:x>
      <cdr:y>0.57126</cdr:y>
    </cdr:from>
    <cdr:to>
      <cdr:x>0.39276</cdr:x>
      <cdr:y>0.64807</cdr:y>
    </cdr:to>
    <cdr:sp macro="" textlink="">
      <cdr:nvSpPr>
        <cdr:cNvPr id="5" name="Right Arrow 4"/>
        <cdr:cNvSpPr/>
      </cdr:nvSpPr>
      <cdr:spPr>
        <a:xfrm xmlns:a="http://schemas.openxmlformats.org/drawingml/2006/main" rot="19834929" flipH="1">
          <a:off x="2171148" y="3475660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3">
            <a:lumMod val="60000"/>
            <a:lumOff val="40000"/>
          </a:schemeClr>
        </a:solidFill>
        <a:ln xmlns:a="http://schemas.openxmlformats.org/drawingml/2006/main">
          <a:solidFill>
            <a:schemeClr val="accent3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3">
            <a:shade val="50000"/>
          </a:schemeClr>
        </a:lnRef>
        <a:fillRef xmlns:a="http://schemas.openxmlformats.org/drawingml/2006/main" idx="1">
          <a:schemeClr val="accent3"/>
        </a:fillRef>
        <a:effectRef xmlns:a="http://schemas.openxmlformats.org/drawingml/2006/main" idx="0">
          <a:schemeClr val="accent3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More attractive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82</xdr:row>
      <xdr:rowOff>219074</xdr:rowOff>
    </xdr:from>
    <xdr:to>
      <xdr:col>20</xdr:col>
      <xdr:colOff>390525</xdr:colOff>
      <xdr:row>98</xdr:row>
      <xdr:rowOff>66674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561975</xdr:colOff>
      <xdr:row>131</xdr:row>
      <xdr:rowOff>33337</xdr:rowOff>
    </xdr:from>
    <xdr:to>
      <xdr:col>11</xdr:col>
      <xdr:colOff>447675</xdr:colOff>
      <xdr:row>148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257175</xdr:colOff>
      <xdr:row>108</xdr:row>
      <xdr:rowOff>85725</xdr:rowOff>
    </xdr:from>
    <xdr:to>
      <xdr:col>15</xdr:col>
      <xdr:colOff>27270</xdr:colOff>
      <xdr:row>130</xdr:row>
      <xdr:rowOff>127862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142875</xdr:colOff>
      <xdr:row>60</xdr:row>
      <xdr:rowOff>61912</xdr:rowOff>
    </xdr:from>
    <xdr:to>
      <xdr:col>15</xdr:col>
      <xdr:colOff>409575</xdr:colOff>
      <xdr:row>77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60</xdr:row>
      <xdr:rowOff>0</xdr:rowOff>
    </xdr:from>
    <xdr:to>
      <xdr:col>23</xdr:col>
      <xdr:colOff>304800</xdr:colOff>
      <xdr:row>76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18</xdr:row>
      <xdr:rowOff>38100</xdr:rowOff>
    </xdr:from>
    <xdr:to>
      <xdr:col>5</xdr:col>
      <xdr:colOff>266700</xdr:colOff>
      <xdr:row>22</xdr:row>
      <xdr:rowOff>76200</xdr:rowOff>
    </xdr:to>
    <xdr:sp macro="" textlink="">
      <xdr:nvSpPr>
        <xdr:cNvPr id="2" name="Rounded Rectangular Callout 1"/>
        <xdr:cNvSpPr/>
      </xdr:nvSpPr>
      <xdr:spPr>
        <a:xfrm>
          <a:off x="1924050" y="3467100"/>
          <a:ext cx="1390650" cy="800100"/>
        </a:xfrm>
        <a:prstGeom prst="wedgeRoundRectCallout">
          <a:avLst>
            <a:gd name="adj1" fmla="val -21518"/>
            <a:gd name="adj2" fmla="val 8955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Need to set</a:t>
          </a:r>
          <a:r>
            <a:rPr lang="en-GB" sz="1100" baseline="0"/>
            <a:t> this up as a scenario! range -£10 to £10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4</xdr:row>
          <xdr:rowOff>152400</xdr:rowOff>
        </xdr:from>
        <xdr:to>
          <xdr:col>7</xdr:col>
          <xdr:colOff>466725</xdr:colOff>
          <xdr:row>7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SA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228599</xdr:colOff>
      <xdr:row>1</xdr:row>
      <xdr:rowOff>0</xdr:rowOff>
    </xdr:from>
    <xdr:to>
      <xdr:col>24</xdr:col>
      <xdr:colOff>241935</xdr:colOff>
      <xdr:row>24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0</xdr:row>
      <xdr:rowOff>85725</xdr:rowOff>
    </xdr:from>
    <xdr:to>
      <xdr:col>29</xdr:col>
      <xdr:colOff>0</xdr:colOff>
      <xdr:row>29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fitariffs.co.uk/eligible/levels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C20"/>
  <sheetViews>
    <sheetView showGridLines="0" zoomScale="80" zoomScaleNormal="80" workbookViewId="0">
      <selection activeCell="Q3" sqref="Q3"/>
    </sheetView>
  </sheetViews>
  <sheetFormatPr defaultRowHeight="15" x14ac:dyDescent="0.2"/>
  <cols>
    <col min="1" max="1" width="28.85546875" style="187" bestFit="1" customWidth="1"/>
    <col min="2" max="2" width="9.140625" style="187"/>
    <col min="3" max="3" width="18.5703125" style="187" customWidth="1"/>
    <col min="4" max="16384" width="9.140625" style="187"/>
  </cols>
  <sheetData>
    <row r="2" spans="1:3" ht="59.25" thickBot="1" x14ac:dyDescent="0.25">
      <c r="A2" s="190" t="s">
        <v>198</v>
      </c>
      <c r="B2" s="190" t="s">
        <v>2</v>
      </c>
      <c r="C2" s="191" t="s">
        <v>255</v>
      </c>
    </row>
    <row r="3" spans="1:3" ht="21" customHeight="1" thickTop="1" x14ac:dyDescent="0.2">
      <c r="A3" s="188" t="s">
        <v>249</v>
      </c>
      <c r="B3" s="188">
        <f>Dashboard!C6</f>
        <v>80</v>
      </c>
      <c r="C3" s="189">
        <v>1</v>
      </c>
    </row>
    <row r="4" spans="1:3" ht="21" customHeight="1" x14ac:dyDescent="0.2">
      <c r="A4" s="188" t="s">
        <v>250</v>
      </c>
      <c r="B4" s="188">
        <f>Dashboard!C7</f>
        <v>80</v>
      </c>
      <c r="C4" s="189">
        <v>0.45</v>
      </c>
    </row>
    <row r="5" spans="1:3" ht="21" customHeight="1" x14ac:dyDescent="0.2">
      <c r="A5" s="188" t="s">
        <v>206</v>
      </c>
      <c r="B5" s="188"/>
      <c r="C5" s="189">
        <v>1</v>
      </c>
    </row>
    <row r="6" spans="1:3" ht="21" customHeight="1" x14ac:dyDescent="0.2">
      <c r="A6" s="188"/>
      <c r="B6" s="188"/>
      <c r="C6" s="189"/>
    </row>
    <row r="7" spans="1:3" ht="39.75" thickBot="1" x14ac:dyDescent="0.25">
      <c r="A7" s="190"/>
      <c r="B7" s="190"/>
      <c r="C7" s="191" t="s">
        <v>202</v>
      </c>
    </row>
    <row r="8" spans="1:3" ht="21" customHeight="1" thickTop="1" thickBot="1" x14ac:dyDescent="0.25">
      <c r="A8" s="190" t="s">
        <v>199</v>
      </c>
      <c r="B8" s="192" t="s">
        <v>7</v>
      </c>
      <c r="C8" s="190"/>
    </row>
    <row r="9" spans="1:3" ht="21" customHeight="1" thickTop="1" x14ac:dyDescent="0.2">
      <c r="A9" s="188" t="s">
        <v>216</v>
      </c>
      <c r="B9" s="188">
        <v>150</v>
      </c>
      <c r="C9" s="189">
        <v>0</v>
      </c>
    </row>
    <row r="10" spans="1:3" ht="21" customHeight="1" x14ac:dyDescent="0.2">
      <c r="A10" s="188" t="s">
        <v>215</v>
      </c>
      <c r="B10" s="188"/>
      <c r="C10" s="189">
        <v>0</v>
      </c>
    </row>
    <row r="11" spans="1:3" ht="21" customHeight="1" x14ac:dyDescent="0.2">
      <c r="A11" s="188" t="s">
        <v>200</v>
      </c>
      <c r="B11" s="188">
        <f>Maize_Area</f>
        <v>46</v>
      </c>
      <c r="C11" s="189">
        <v>1</v>
      </c>
    </row>
    <row r="12" spans="1:3" ht="21" customHeight="1" x14ac:dyDescent="0.2">
      <c r="A12" s="188" t="s">
        <v>201</v>
      </c>
      <c r="B12" s="188">
        <v>50</v>
      </c>
      <c r="C12" s="189">
        <v>0</v>
      </c>
    </row>
    <row r="13" spans="1:3" ht="21" customHeight="1" x14ac:dyDescent="0.2">
      <c r="A13" s="188" t="s">
        <v>207</v>
      </c>
      <c r="B13" s="188"/>
      <c r="C13" s="189">
        <v>0</v>
      </c>
    </row>
    <row r="14" spans="1:3" ht="21" customHeight="1" x14ac:dyDescent="0.2">
      <c r="A14" s="188" t="s">
        <v>208</v>
      </c>
      <c r="B14" s="188"/>
      <c r="C14" s="189">
        <v>0</v>
      </c>
    </row>
    <row r="15" spans="1:3" ht="21" customHeight="1" x14ac:dyDescent="0.2">
      <c r="A15" s="188" t="s">
        <v>209</v>
      </c>
      <c r="B15" s="188"/>
      <c r="C15" s="189">
        <v>0</v>
      </c>
    </row>
    <row r="16" spans="1:3" ht="21" customHeight="1" x14ac:dyDescent="0.2">
      <c r="A16" s="188" t="s">
        <v>210</v>
      </c>
      <c r="B16" s="188"/>
      <c r="C16" s="189">
        <v>0</v>
      </c>
    </row>
    <row r="17" spans="1:3" ht="21" customHeight="1" x14ac:dyDescent="0.2">
      <c r="A17" s="188" t="s">
        <v>211</v>
      </c>
      <c r="B17" s="188"/>
      <c r="C17" s="189">
        <v>0</v>
      </c>
    </row>
    <row r="18" spans="1:3" ht="21" customHeight="1" x14ac:dyDescent="0.2">
      <c r="A18" s="188" t="s">
        <v>212</v>
      </c>
      <c r="B18" s="188"/>
      <c r="C18" s="189">
        <v>0</v>
      </c>
    </row>
    <row r="19" spans="1:3" ht="21" customHeight="1" x14ac:dyDescent="0.2">
      <c r="A19" s="188" t="s">
        <v>213</v>
      </c>
      <c r="B19" s="188"/>
      <c r="C19" s="189">
        <v>0</v>
      </c>
    </row>
    <row r="20" spans="1:3" ht="21" customHeight="1" x14ac:dyDescent="0.2">
      <c r="A20" s="188" t="s">
        <v>214</v>
      </c>
      <c r="B20" s="188"/>
      <c r="C20" s="189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witch2Dash">
                <anchor moveWithCells="1" sizeWithCells="1">
                  <from>
                    <xdr:col>2</xdr:col>
                    <xdr:colOff>9525</xdr:colOff>
                    <xdr:row>20</xdr:row>
                    <xdr:rowOff>66675</xdr:rowOff>
                  </from>
                  <to>
                    <xdr:col>4</xdr:col>
                    <xdr:colOff>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2"/>
  <sheetViews>
    <sheetView showGridLines="0" tabSelected="1" topLeftCell="A6" zoomScale="50" zoomScaleNormal="50" workbookViewId="0">
      <selection activeCell="C1" sqref="C1"/>
    </sheetView>
  </sheetViews>
  <sheetFormatPr defaultRowHeight="12.75" x14ac:dyDescent="0.2"/>
  <cols>
    <col min="1" max="1" width="76" bestFit="1" customWidth="1"/>
    <col min="2" max="2" width="15" customWidth="1"/>
    <col min="3" max="3" width="28.140625" bestFit="1" customWidth="1"/>
    <col min="4" max="4" width="11.7109375" customWidth="1"/>
    <col min="5" max="9" width="11.7109375" bestFit="1" customWidth="1"/>
    <col min="10" max="10" width="13" bestFit="1" customWidth="1"/>
    <col min="11" max="11" width="5" customWidth="1"/>
  </cols>
  <sheetData>
    <row r="1" spans="1:13" ht="25.5" x14ac:dyDescent="0.3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5"/>
      <c r="M1" s="145"/>
    </row>
    <row r="2" spans="1:13" ht="25.5" hidden="1" x14ac:dyDescent="0.3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5"/>
      <c r="M2" s="145"/>
    </row>
    <row r="3" spans="1:13" ht="25.5" hidden="1" x14ac:dyDescent="0.35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5"/>
      <c r="M3" s="145"/>
    </row>
    <row r="4" spans="1:13" ht="31.5" customHeight="1" x14ac:dyDescent="0.35">
      <c r="D4" s="146"/>
      <c r="E4" s="146"/>
      <c r="F4" s="146"/>
      <c r="G4" s="146"/>
      <c r="H4" s="146"/>
      <c r="I4" s="146"/>
      <c r="J4" s="146"/>
      <c r="K4" s="146"/>
      <c r="L4" s="145"/>
      <c r="M4" s="145"/>
    </row>
    <row r="5" spans="1:13" ht="37.5" customHeight="1" x14ac:dyDescent="0.35">
      <c r="A5" s="146"/>
      <c r="B5" s="147"/>
      <c r="C5" s="146"/>
      <c r="D5" s="146"/>
      <c r="E5" s="146"/>
      <c r="F5" s="146"/>
      <c r="G5" s="146"/>
      <c r="H5" s="146"/>
      <c r="I5" s="146"/>
      <c r="J5" s="146"/>
      <c r="K5" s="146"/>
      <c r="L5" s="145"/>
      <c r="M5" s="145"/>
    </row>
    <row r="6" spans="1:13" ht="32.25" customHeight="1" x14ac:dyDescent="0.3">
      <c r="A6" s="193" t="s">
        <v>162</v>
      </c>
      <c r="B6" s="149" t="s">
        <v>2</v>
      </c>
      <c r="C6" s="150">
        <v>80</v>
      </c>
      <c r="D6" s="150"/>
      <c r="E6" s="150"/>
      <c r="F6" s="150"/>
      <c r="G6" s="150"/>
      <c r="H6" s="150"/>
      <c r="I6" s="150"/>
      <c r="J6" s="150"/>
      <c r="K6" s="150"/>
      <c r="L6" s="145"/>
      <c r="M6" s="145"/>
    </row>
    <row r="7" spans="1:13" ht="62.25" customHeight="1" x14ac:dyDescent="0.3">
      <c r="A7" s="194" t="s">
        <v>163</v>
      </c>
      <c r="B7" s="148" t="s">
        <v>2</v>
      </c>
      <c r="C7" s="147">
        <v>80</v>
      </c>
      <c r="D7" s="147"/>
      <c r="E7" s="147"/>
      <c r="F7" s="147"/>
      <c r="G7" s="147"/>
      <c r="H7" s="147"/>
      <c r="I7" s="147"/>
      <c r="J7" s="147"/>
      <c r="K7" s="147"/>
      <c r="L7" s="145"/>
      <c r="M7" s="145"/>
    </row>
    <row r="8" spans="1:13" ht="43.5" hidden="1" customHeight="1" x14ac:dyDescent="0.3">
      <c r="A8" s="194"/>
      <c r="B8" s="148"/>
      <c r="C8" s="147">
        <v>504.75</v>
      </c>
      <c r="D8" s="147"/>
      <c r="E8" s="147"/>
      <c r="F8" s="147"/>
      <c r="G8" s="147"/>
      <c r="H8" s="147"/>
      <c r="I8" s="147"/>
      <c r="J8" s="147"/>
      <c r="K8" s="147"/>
      <c r="L8" s="145"/>
      <c r="M8" s="145"/>
    </row>
    <row r="9" spans="1:13" ht="32.25" customHeight="1" x14ac:dyDescent="0.3">
      <c r="A9" s="193" t="s">
        <v>67</v>
      </c>
      <c r="B9" s="149" t="s">
        <v>7</v>
      </c>
      <c r="C9" s="150">
        <v>46</v>
      </c>
      <c r="D9" s="150"/>
      <c r="E9" s="150"/>
      <c r="F9" s="150"/>
      <c r="G9" s="150"/>
      <c r="H9" s="150"/>
      <c r="I9" s="150"/>
      <c r="J9" s="150"/>
      <c r="K9" s="150"/>
      <c r="L9" s="145"/>
      <c r="M9" s="145"/>
    </row>
    <row r="10" spans="1:13" ht="36" customHeight="1" x14ac:dyDescent="0.3">
      <c r="A10" s="194" t="s">
        <v>165</v>
      </c>
      <c r="B10" s="148" t="s">
        <v>28</v>
      </c>
      <c r="C10" s="152">
        <v>5084</v>
      </c>
      <c r="D10" s="147"/>
      <c r="E10" s="147"/>
      <c r="F10" s="147"/>
      <c r="G10" s="147"/>
      <c r="H10" s="147"/>
      <c r="I10" s="147"/>
      <c r="J10" s="147"/>
      <c r="K10" s="147"/>
      <c r="L10" s="145"/>
      <c r="M10" s="145"/>
    </row>
    <row r="11" spans="1:13" ht="39.75" customHeight="1" x14ac:dyDescent="0.3">
      <c r="A11" s="193" t="s">
        <v>175</v>
      </c>
      <c r="B11" s="149" t="s">
        <v>28</v>
      </c>
      <c r="C11" s="153">
        <v>14682</v>
      </c>
      <c r="D11" s="150"/>
      <c r="E11" s="150"/>
      <c r="F11" s="150"/>
      <c r="G11" s="150"/>
      <c r="H11" s="150"/>
      <c r="I11" s="150"/>
      <c r="J11" s="150"/>
      <c r="K11" s="150"/>
      <c r="L11" s="145"/>
      <c r="M11" s="145"/>
    </row>
    <row r="12" spans="1:13" ht="17.25" customHeight="1" x14ac:dyDescent="0.35">
      <c r="A12" s="146"/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5"/>
      <c r="M12" s="145"/>
    </row>
    <row r="13" spans="1:13" ht="37.5" customHeight="1" x14ac:dyDescent="0.35">
      <c r="A13" s="162" t="s">
        <v>181</v>
      </c>
      <c r="C13" s="186">
        <f>Calcs!D63</f>
        <v>818719.76453352883</v>
      </c>
      <c r="D13" s="146"/>
      <c r="E13" s="146"/>
      <c r="F13" s="146"/>
      <c r="G13" s="146"/>
      <c r="H13" s="146"/>
      <c r="I13" s="146"/>
      <c r="J13" s="146"/>
      <c r="K13" s="146"/>
      <c r="L13" s="145"/>
      <c r="M13" s="145"/>
    </row>
    <row r="14" spans="1:13" ht="45" customHeight="1" x14ac:dyDescent="0.35">
      <c r="A14" s="163" t="s">
        <v>205</v>
      </c>
      <c r="B14" s="151"/>
      <c r="C14" s="164">
        <f>Calcs!$D$65</f>
        <v>99.803061633740271</v>
      </c>
      <c r="D14" s="146" t="s">
        <v>33</v>
      </c>
      <c r="E14" s="145"/>
      <c r="F14" s="145"/>
      <c r="G14" s="145"/>
      <c r="H14" s="145"/>
      <c r="I14" s="145"/>
      <c r="J14" s="145"/>
      <c r="K14" s="145"/>
      <c r="L14" s="145"/>
      <c r="M14" s="145"/>
    </row>
    <row r="15" spans="1:13" ht="39.75" customHeight="1" x14ac:dyDescent="0.35">
      <c r="A15" s="162" t="s">
        <v>160</v>
      </c>
      <c r="C15" s="173">
        <f>SPB</f>
        <v>6.7314271586488061</v>
      </c>
      <c r="D15" s="146" t="s">
        <v>161</v>
      </c>
      <c r="E15" s="145"/>
      <c r="F15" s="145"/>
      <c r="G15" s="145"/>
      <c r="H15" s="145"/>
      <c r="I15" s="145"/>
      <c r="J15" s="145"/>
      <c r="K15" s="145"/>
      <c r="L15" s="145"/>
      <c r="M15" s="145"/>
    </row>
    <row r="16" spans="1:13" ht="20.25" x14ac:dyDescent="0.3">
      <c r="L16" s="145"/>
      <c r="M16" s="145"/>
    </row>
    <row r="17" spans="1:10" ht="32.25" thickBot="1" x14ac:dyDescent="0.55000000000000004">
      <c r="A17" s="155" t="s">
        <v>224</v>
      </c>
      <c r="B17" s="155"/>
      <c r="C17" s="155"/>
    </row>
    <row r="18" spans="1:10" ht="27" thickTop="1" x14ac:dyDescent="0.4">
      <c r="A18" s="165" t="s">
        <v>43</v>
      </c>
      <c r="B18" s="157">
        <v>50</v>
      </c>
      <c r="C18" s="158" t="s">
        <v>178</v>
      </c>
    </row>
    <row r="19" spans="1:10" ht="26.25" x14ac:dyDescent="0.4">
      <c r="A19" s="166" t="s">
        <v>177</v>
      </c>
      <c r="B19" s="156">
        <v>20</v>
      </c>
      <c r="C19" s="159" t="s">
        <v>123</v>
      </c>
    </row>
    <row r="20" spans="1:10" ht="26.25" x14ac:dyDescent="0.4">
      <c r="A20" s="166" t="s">
        <v>180</v>
      </c>
      <c r="B20" s="156">
        <v>20</v>
      </c>
      <c r="C20" s="159" t="s">
        <v>84</v>
      </c>
    </row>
    <row r="21" spans="1:10" ht="26.25" x14ac:dyDescent="0.4">
      <c r="A21" s="166" t="s">
        <v>179</v>
      </c>
      <c r="B21" s="156">
        <v>6</v>
      </c>
      <c r="C21" s="159" t="s">
        <v>84</v>
      </c>
    </row>
    <row r="22" spans="1:10" ht="27" thickBot="1" x14ac:dyDescent="0.45">
      <c r="A22" s="167" t="s">
        <v>217</v>
      </c>
      <c r="B22" s="160">
        <v>4.5999999999999996</v>
      </c>
      <c r="C22" s="161" t="s">
        <v>84</v>
      </c>
    </row>
    <row r="23" spans="1:10" ht="13.5" thickTop="1" x14ac:dyDescent="0.2"/>
    <row r="24" spans="1:10" x14ac:dyDescent="0.2">
      <c r="A24" s="183"/>
      <c r="B24" s="183"/>
      <c r="C24" s="183"/>
      <c r="D24" s="183"/>
      <c r="E24" s="183"/>
      <c r="F24" s="183"/>
      <c r="G24" s="183"/>
      <c r="H24" s="183"/>
      <c r="I24" s="183"/>
      <c r="J24" s="183"/>
    </row>
    <row r="25" spans="1:10" ht="27" thickBot="1" x14ac:dyDescent="0.45">
      <c r="A25" s="185" t="s">
        <v>254</v>
      </c>
      <c r="B25" s="174">
        <v>-0.2</v>
      </c>
      <c r="C25" s="174">
        <v>-0.15</v>
      </c>
      <c r="D25" s="174">
        <v>-0.1</v>
      </c>
      <c r="E25" s="174">
        <v>-0.05</v>
      </c>
      <c r="F25" s="174">
        <v>0</v>
      </c>
      <c r="G25" s="174">
        <v>0.05</v>
      </c>
      <c r="H25" s="174">
        <v>0.1</v>
      </c>
      <c r="I25" s="174">
        <v>0.15</v>
      </c>
      <c r="J25" s="184">
        <v>0.2</v>
      </c>
    </row>
    <row r="26" spans="1:10" ht="27" thickTop="1" x14ac:dyDescent="0.4">
      <c r="A26" s="181" t="s">
        <v>43</v>
      </c>
      <c r="B26" s="177">
        <f t="shared" ref="B26:J26" si="0">Crop_Yield*(1+B25)</f>
        <v>40</v>
      </c>
      <c r="C26" s="177">
        <f t="shared" si="0"/>
        <v>42.5</v>
      </c>
      <c r="D26" s="177">
        <f t="shared" si="0"/>
        <v>45</v>
      </c>
      <c r="E26" s="177">
        <f t="shared" si="0"/>
        <v>47.5</v>
      </c>
      <c r="F26" s="177">
        <f t="shared" si="0"/>
        <v>50</v>
      </c>
      <c r="G26" s="177">
        <f t="shared" si="0"/>
        <v>52.5</v>
      </c>
      <c r="H26" s="177">
        <f t="shared" si="0"/>
        <v>55.000000000000007</v>
      </c>
      <c r="I26" s="177">
        <f t="shared" si="0"/>
        <v>57.499999999999993</v>
      </c>
      <c r="J26" s="178">
        <f t="shared" si="0"/>
        <v>60</v>
      </c>
    </row>
    <row r="27" spans="1:10" ht="27" thickBot="1" x14ac:dyDescent="0.45">
      <c r="A27" s="182" t="s">
        <v>251</v>
      </c>
      <c r="B27" s="175">
        <v>6.7478095440550394</v>
      </c>
      <c r="C27" s="175">
        <v>6.7544128423107228</v>
      </c>
      <c r="D27" s="175">
        <v>6.7531153259868013</v>
      </c>
      <c r="E27" s="175">
        <v>6.7451158848429422</v>
      </c>
      <c r="F27" s="175">
        <v>6.7314271586488061</v>
      </c>
      <c r="G27" s="175">
        <v>6.7129071145362724</v>
      </c>
      <c r="H27" s="175">
        <v>6.6902848035666693</v>
      </c>
      <c r="I27" s="175">
        <v>6.6641814463552196</v>
      </c>
      <c r="J27" s="176">
        <v>6.6351277583802561</v>
      </c>
    </row>
    <row r="28" spans="1:10" ht="27" thickTop="1" x14ac:dyDescent="0.4">
      <c r="A28" s="181" t="s">
        <v>252</v>
      </c>
      <c r="B28" s="177">
        <f t="shared" ref="B28:J28" si="1">Crop_Price*(1+B25)</f>
        <v>16</v>
      </c>
      <c r="C28" s="177">
        <f t="shared" si="1"/>
        <v>17</v>
      </c>
      <c r="D28" s="177">
        <f t="shared" si="1"/>
        <v>18</v>
      </c>
      <c r="E28" s="177">
        <f t="shared" si="1"/>
        <v>19</v>
      </c>
      <c r="F28" s="177">
        <f t="shared" si="1"/>
        <v>20</v>
      </c>
      <c r="G28" s="177">
        <f t="shared" si="1"/>
        <v>21</v>
      </c>
      <c r="H28" s="177">
        <f t="shared" si="1"/>
        <v>22</v>
      </c>
      <c r="I28" s="177">
        <f t="shared" si="1"/>
        <v>23</v>
      </c>
      <c r="J28" s="178">
        <f t="shared" si="1"/>
        <v>24</v>
      </c>
    </row>
    <row r="29" spans="1:10" ht="27" thickBot="1" x14ac:dyDescent="0.45">
      <c r="A29" s="182" t="s">
        <v>251</v>
      </c>
      <c r="B29" s="175">
        <v>6.7476451662277892</v>
      </c>
      <c r="C29" s="175">
        <v>6.7428670574944078</v>
      </c>
      <c r="D29" s="175">
        <v>6.7386255270129967</v>
      </c>
      <c r="E29" s="175">
        <v>6.7348349940697885</v>
      </c>
      <c r="F29" s="175">
        <v>6.7314271586488061</v>
      </c>
      <c r="G29" s="175">
        <v>6.7283468493244314</v>
      </c>
      <c r="H29" s="175">
        <v>6.7255490134354146</v>
      </c>
      <c r="I29" s="175">
        <v>6.7229964989867375</v>
      </c>
      <c r="J29" s="176">
        <v>6.7206583955115393</v>
      </c>
    </row>
    <row r="30" spans="1:10" ht="27" thickTop="1" x14ac:dyDescent="0.4">
      <c r="A30" s="181" t="s">
        <v>97</v>
      </c>
      <c r="B30" s="179">
        <f t="shared" ref="B30:J30" si="2">Elec_Price*(1+B$25)</f>
        <v>16</v>
      </c>
      <c r="C30" s="179">
        <f t="shared" si="2"/>
        <v>17</v>
      </c>
      <c r="D30" s="179">
        <f t="shared" si="2"/>
        <v>18</v>
      </c>
      <c r="E30" s="179">
        <f t="shared" si="2"/>
        <v>19</v>
      </c>
      <c r="F30" s="179">
        <f t="shared" si="2"/>
        <v>20</v>
      </c>
      <c r="G30" s="179">
        <f t="shared" si="2"/>
        <v>21</v>
      </c>
      <c r="H30" s="179">
        <f t="shared" si="2"/>
        <v>22</v>
      </c>
      <c r="I30" s="179">
        <f t="shared" si="2"/>
        <v>23</v>
      </c>
      <c r="J30" s="180">
        <f t="shared" si="2"/>
        <v>24</v>
      </c>
    </row>
    <row r="31" spans="1:10" ht="27" thickBot="1" x14ac:dyDescent="0.45">
      <c r="A31" s="182" t="s">
        <v>251</v>
      </c>
      <c r="B31" s="175">
        <v>6.7476451662277892</v>
      </c>
      <c r="C31" s="175">
        <v>6.7428670574944078</v>
      </c>
      <c r="D31" s="175">
        <v>6.7386255270129967</v>
      </c>
      <c r="E31" s="175">
        <v>6.7348349940697885</v>
      </c>
      <c r="F31" s="175">
        <v>6.7314271586488061</v>
      </c>
      <c r="G31" s="175">
        <v>6.7283468493244314</v>
      </c>
      <c r="H31" s="175">
        <v>6.7255490134354146</v>
      </c>
      <c r="I31" s="175">
        <v>6.7229964989867375</v>
      </c>
      <c r="J31" s="176">
        <v>6.7206583955115393</v>
      </c>
    </row>
    <row r="32" spans="1:10" ht="30" customHeight="1" thickTop="1" x14ac:dyDescent="0.4">
      <c r="A32" s="181" t="s">
        <v>253</v>
      </c>
      <c r="B32" s="179">
        <f t="shared" ref="B32:J32" si="3">Heat_Price*(1+B$25)</f>
        <v>4.8000000000000007</v>
      </c>
      <c r="C32" s="179">
        <f t="shared" si="3"/>
        <v>5.0999999999999996</v>
      </c>
      <c r="D32" s="179">
        <f t="shared" si="3"/>
        <v>5.4</v>
      </c>
      <c r="E32" s="179">
        <f t="shared" si="3"/>
        <v>5.6999999999999993</v>
      </c>
      <c r="F32" s="179">
        <f t="shared" si="3"/>
        <v>6</v>
      </c>
      <c r="G32" s="179">
        <f t="shared" si="3"/>
        <v>6.3000000000000007</v>
      </c>
      <c r="H32" s="179">
        <f t="shared" si="3"/>
        <v>6.6000000000000005</v>
      </c>
      <c r="I32" s="179">
        <f t="shared" si="3"/>
        <v>6.8999999999999995</v>
      </c>
      <c r="J32" s="180">
        <f t="shared" si="3"/>
        <v>7.1999999999999993</v>
      </c>
    </row>
    <row r="33" spans="1:11" ht="30" customHeight="1" thickBot="1" x14ac:dyDescent="0.45">
      <c r="A33" s="182" t="s">
        <v>251</v>
      </c>
      <c r="B33" s="175">
        <v>6.470107029537477</v>
      </c>
      <c r="C33" s="175">
        <v>6.5448354022717794</v>
      </c>
      <c r="D33" s="175">
        <v>6.6127248049259553</v>
      </c>
      <c r="E33" s="175">
        <v>6.6746729878623752</v>
      </c>
      <c r="F33" s="175">
        <v>6.7314271586488061</v>
      </c>
      <c r="G33" s="175">
        <v>6.7836142678595879</v>
      </c>
      <c r="H33" s="175">
        <v>6.8317642662942797</v>
      </c>
      <c r="I33" s="175">
        <v>6.8763281657670294</v>
      </c>
      <c r="J33" s="176">
        <v>6.9176922093977948</v>
      </c>
    </row>
    <row r="34" spans="1:11" ht="30" customHeight="1" thickTop="1" x14ac:dyDescent="0.2"/>
    <row r="35" spans="1:11" ht="30" customHeight="1" x14ac:dyDescent="0.2"/>
    <row r="36" spans="1:11" ht="30" customHeight="1" x14ac:dyDescent="0.2"/>
    <row r="37" spans="1:11" ht="30" customHeight="1" x14ac:dyDescent="0.2"/>
    <row r="38" spans="1:11" ht="30" customHeight="1" x14ac:dyDescent="0.2"/>
    <row r="39" spans="1:11" ht="30" customHeight="1" x14ac:dyDescent="0.2"/>
    <row r="40" spans="1:11" ht="30" customHeight="1" x14ac:dyDescent="0.2"/>
    <row r="41" spans="1:11" ht="30" customHeight="1" x14ac:dyDescent="0.2"/>
    <row r="42" spans="1:11" ht="26.25" x14ac:dyDescent="0.4">
      <c r="A42" s="166"/>
      <c r="B42" s="1"/>
      <c r="C42" s="1"/>
      <c r="D42" s="1"/>
      <c r="E42" s="1"/>
      <c r="F42" s="1"/>
      <c r="G42" s="1"/>
      <c r="H42" s="1"/>
      <c r="I42" s="1"/>
      <c r="J42" s="1"/>
    </row>
    <row r="43" spans="1:11" s="1" customFormat="1" x14ac:dyDescent="0.2">
      <c r="A43" s="2"/>
      <c r="B43" s="172"/>
      <c r="C43" s="172"/>
      <c r="D43" s="172"/>
      <c r="E43" s="172"/>
      <c r="F43" s="172"/>
      <c r="G43" s="172"/>
      <c r="H43" s="172"/>
      <c r="I43" s="172"/>
      <c r="J43" s="172"/>
    </row>
    <row r="44" spans="1:11" s="2" customFormat="1" x14ac:dyDescent="0.2">
      <c r="B44" s="172"/>
      <c r="C44" s="172"/>
      <c r="D44" s="136"/>
      <c r="E44" s="136"/>
      <c r="F44" s="136"/>
      <c r="G44" s="136"/>
      <c r="H44" s="136"/>
      <c r="I44" s="136"/>
      <c r="J44" s="136"/>
      <c r="K44" s="172"/>
    </row>
    <row r="45" spans="1:11" s="2" customFormat="1" x14ac:dyDescent="0.2">
      <c r="A45"/>
      <c r="B45" s="136"/>
      <c r="C45" s="136"/>
      <c r="D45" s="136"/>
      <c r="E45" s="136"/>
      <c r="F45" s="136"/>
      <c r="G45" s="136"/>
      <c r="H45" s="136"/>
      <c r="I45" s="136"/>
      <c r="J45" s="136"/>
      <c r="K45" s="136"/>
    </row>
    <row r="46" spans="1:11" x14ac:dyDescent="0.2">
      <c r="B46" s="136"/>
      <c r="C46" s="136"/>
      <c r="D46" s="136"/>
      <c r="E46" s="136"/>
      <c r="F46" s="136"/>
      <c r="G46" s="136"/>
      <c r="H46" s="136"/>
      <c r="I46" s="136"/>
      <c r="J46" s="136"/>
      <c r="K46" s="136"/>
    </row>
    <row r="47" spans="1:11" x14ac:dyDescent="0.2">
      <c r="K47" s="136"/>
    </row>
    <row r="56" spans="1:7" x14ac:dyDescent="0.2">
      <c r="A56" s="136" t="s">
        <v>185</v>
      </c>
    </row>
    <row r="57" spans="1:7" x14ac:dyDescent="0.2">
      <c r="A57" s="136" t="s">
        <v>182</v>
      </c>
    </row>
    <row r="58" spans="1:7" x14ac:dyDescent="0.2">
      <c r="A58" s="136" t="s">
        <v>183</v>
      </c>
    </row>
    <row r="59" spans="1:7" x14ac:dyDescent="0.2">
      <c r="A59" s="136" t="s">
        <v>184</v>
      </c>
    </row>
    <row r="61" spans="1:7" x14ac:dyDescent="0.2">
      <c r="A61" s="136" t="s">
        <v>186</v>
      </c>
      <c r="B61" s="136" t="s">
        <v>187</v>
      </c>
      <c r="D61" s="136" t="s">
        <v>188</v>
      </c>
      <c r="G61" s="136" t="s">
        <v>192</v>
      </c>
    </row>
    <row r="62" spans="1:7" x14ac:dyDescent="0.2">
      <c r="A62" s="136" t="s">
        <v>189</v>
      </c>
      <c r="B62" s="136" t="s">
        <v>190</v>
      </c>
    </row>
    <row r="63" spans="1:7" x14ac:dyDescent="0.2">
      <c r="A63" s="136" t="s">
        <v>191</v>
      </c>
    </row>
    <row r="65" spans="1:1" x14ac:dyDescent="0.2">
      <c r="A65" s="136" t="s">
        <v>193</v>
      </c>
    </row>
    <row r="66" spans="1:1" x14ac:dyDescent="0.2">
      <c r="A66" s="136" t="s">
        <v>194</v>
      </c>
    </row>
    <row r="67" spans="1:1" x14ac:dyDescent="0.2">
      <c r="A67" s="136" t="s">
        <v>195</v>
      </c>
    </row>
    <row r="68" spans="1:1" x14ac:dyDescent="0.2">
      <c r="A68" s="136" t="s">
        <v>196</v>
      </c>
    </row>
    <row r="69" spans="1:1" x14ac:dyDescent="0.2">
      <c r="A69" s="136"/>
    </row>
    <row r="70" spans="1:1" x14ac:dyDescent="0.2">
      <c r="A70" s="136"/>
    </row>
    <row r="71" spans="1:1" x14ac:dyDescent="0.2">
      <c r="A71" s="136"/>
    </row>
    <row r="72" spans="1:1" x14ac:dyDescent="0.2">
      <c r="A72" s="136" t="s">
        <v>197</v>
      </c>
    </row>
  </sheetData>
  <conditionalFormatting sqref="B29:J29 B31:J31 B33:J33 B27:J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2" r:id="rId4" name="ScrollBar6">
          <controlPr defaultSize="0" autoLine="0" linkedCell="Heat_Bill" r:id="rId5">
            <anchor moveWithCells="1">
              <from>
                <xdr:col>3</xdr:col>
                <xdr:colOff>257175</xdr:colOff>
                <xdr:row>10</xdr:row>
                <xdr:rowOff>38100</xdr:rowOff>
              </from>
              <to>
                <xdr:col>8</xdr:col>
                <xdr:colOff>523875</xdr:colOff>
                <xdr:row>10</xdr:row>
                <xdr:rowOff>314325</xdr:rowOff>
              </to>
            </anchor>
          </controlPr>
        </control>
      </mc:Choice>
      <mc:Fallback>
        <control shapeId="8202" r:id="rId4" name="ScrollBar6"/>
      </mc:Fallback>
    </mc:AlternateContent>
    <mc:AlternateContent xmlns:mc="http://schemas.openxmlformats.org/markup-compatibility/2006">
      <mc:Choice Requires="x14">
        <control shapeId="8201" r:id="rId6" name="ScrollBar5">
          <controlPr defaultSize="0" autoLine="0" linkedCell="Heat_Bill" r:id="rId7">
            <anchor moveWithCells="1">
              <from>
                <xdr:col>3</xdr:col>
                <xdr:colOff>28575</xdr:colOff>
                <xdr:row>39184</xdr:row>
                <xdr:rowOff>133350</xdr:rowOff>
              </from>
              <to>
                <xdr:col>6</xdr:col>
                <xdr:colOff>590550</xdr:colOff>
                <xdr:row>39186</xdr:row>
                <xdr:rowOff>57150</xdr:rowOff>
              </to>
            </anchor>
          </controlPr>
        </control>
      </mc:Choice>
      <mc:Fallback>
        <control shapeId="8201" r:id="rId6" name="ScrollBar5"/>
      </mc:Fallback>
    </mc:AlternateContent>
    <mc:AlternateContent xmlns:mc="http://schemas.openxmlformats.org/markup-compatibility/2006">
      <mc:Choice Requires="x14">
        <control shapeId="8200" r:id="rId8" name="ScrollBar4">
          <controlPr defaultSize="0" autoLine="0" linkedCell="Elec_Bill" r:id="rId9">
            <anchor moveWithCells="1">
              <from>
                <xdr:col>3</xdr:col>
                <xdr:colOff>257175</xdr:colOff>
                <xdr:row>9</xdr:row>
                <xdr:rowOff>47625</xdr:rowOff>
              </from>
              <to>
                <xdr:col>8</xdr:col>
                <xdr:colOff>523875</xdr:colOff>
                <xdr:row>9</xdr:row>
                <xdr:rowOff>314325</xdr:rowOff>
              </to>
            </anchor>
          </controlPr>
        </control>
      </mc:Choice>
      <mc:Fallback>
        <control shapeId="8200" r:id="rId8" name="ScrollBar4"/>
      </mc:Fallback>
    </mc:AlternateContent>
    <mc:AlternateContent xmlns:mc="http://schemas.openxmlformats.org/markup-compatibility/2006">
      <mc:Choice Requires="x14">
        <control shapeId="8198" r:id="rId10" name="ScrollBar3">
          <controlPr defaultSize="0" autoLine="0" linkedCell="Summer_Grazed" r:id="rId11">
            <anchor moveWithCells="1">
              <from>
                <xdr:col>3</xdr:col>
                <xdr:colOff>257175</xdr:colOff>
                <xdr:row>6</xdr:row>
                <xdr:rowOff>76200</xdr:rowOff>
              </from>
              <to>
                <xdr:col>8</xdr:col>
                <xdr:colOff>523875</xdr:colOff>
                <xdr:row>6</xdr:row>
                <xdr:rowOff>342900</xdr:rowOff>
              </to>
            </anchor>
          </controlPr>
        </control>
      </mc:Choice>
      <mc:Fallback>
        <control shapeId="8198" r:id="rId10" name="ScrollBar3"/>
      </mc:Fallback>
    </mc:AlternateContent>
    <mc:AlternateContent xmlns:mc="http://schemas.openxmlformats.org/markup-compatibility/2006">
      <mc:Choice Requires="x14">
        <control shapeId="8195" r:id="rId12" name="ScrollBar2">
          <controlPr defaultSize="0" autoLine="0" linkedCell="Maize_Area" r:id="rId13">
            <anchor moveWithCells="1">
              <from>
                <xdr:col>3</xdr:col>
                <xdr:colOff>257175</xdr:colOff>
                <xdr:row>8</xdr:row>
                <xdr:rowOff>66675</xdr:rowOff>
              </from>
              <to>
                <xdr:col>8</xdr:col>
                <xdr:colOff>523875</xdr:colOff>
                <xdr:row>8</xdr:row>
                <xdr:rowOff>333375</xdr:rowOff>
              </to>
            </anchor>
          </controlPr>
        </control>
      </mc:Choice>
      <mc:Fallback>
        <control shapeId="8195" r:id="rId12" name="ScrollBar2"/>
      </mc:Fallback>
    </mc:AlternateContent>
    <mc:AlternateContent xmlns:mc="http://schemas.openxmlformats.org/markup-compatibility/2006">
      <mc:Choice Requires="x14">
        <control shapeId="8194" r:id="rId14" name="ScrollBar1">
          <controlPr defaultSize="0" autoLine="0" linkedCell="Zero_Grazed" r:id="rId15">
            <anchor moveWithCells="1">
              <from>
                <xdr:col>3</xdr:col>
                <xdr:colOff>257175</xdr:colOff>
                <xdr:row>5</xdr:row>
                <xdr:rowOff>76200</xdr:rowOff>
              </from>
              <to>
                <xdr:col>8</xdr:col>
                <xdr:colOff>523875</xdr:colOff>
                <xdr:row>5</xdr:row>
                <xdr:rowOff>352425</xdr:rowOff>
              </to>
            </anchor>
          </controlPr>
        </control>
      </mc:Choice>
      <mc:Fallback>
        <control shapeId="8194" r:id="rId14" name="ScrollBar1"/>
      </mc:Fallback>
    </mc:AlternateContent>
    <mc:AlternateContent xmlns:mc="http://schemas.openxmlformats.org/markup-compatibility/2006">
      <mc:Choice Requires="x14">
        <control shapeId="8197" r:id="rId16" name="Button 5">
          <controlPr defaultSize="0" print="0" autoFill="0" autoPict="0" macro="[0]!SAforADCalc">
            <anchor moveWithCells="1" sizeWithCells="1">
              <from>
                <xdr:col>5</xdr:col>
                <xdr:colOff>171450</xdr:colOff>
                <xdr:row>13</xdr:row>
                <xdr:rowOff>123825</xdr:rowOff>
              </from>
              <to>
                <xdr:col>10</xdr:col>
                <xdr:colOff>171450</xdr:colOff>
                <xdr:row>14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17" name="Button 11">
          <controlPr defaultSize="0" print="0" autoFill="0" autoPict="0" macro="[0]!Switch2Farm">
            <anchor moveWithCells="1" sizeWithCells="1">
              <from>
                <xdr:col>5</xdr:col>
                <xdr:colOff>190500</xdr:colOff>
                <xdr:row>12</xdr:row>
                <xdr:rowOff>9525</xdr:rowOff>
              </from>
              <to>
                <xdr:col>10</xdr:col>
                <xdr:colOff>190500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8" name="Button 12">
          <controlPr defaultSize="0" print="0" autoFill="0" autoPict="0" macro="[0]!Module1.SA_Table">
            <anchor moveWithCells="1" sizeWithCells="1">
              <from>
                <xdr:col>5</xdr:col>
                <xdr:colOff>209550</xdr:colOff>
                <xdr:row>14</xdr:row>
                <xdr:rowOff>180975</xdr:rowOff>
              </from>
              <to>
                <xdr:col>10</xdr:col>
                <xdr:colOff>209550</xdr:colOff>
                <xdr:row>15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135"/>
  <sheetViews>
    <sheetView zoomScaleNormal="100" workbookViewId="0">
      <pane ySplit="5" topLeftCell="A55" activePane="bottomLeft" state="frozen"/>
      <selection pane="bottomLeft" activeCell="D68" sqref="D68"/>
    </sheetView>
  </sheetViews>
  <sheetFormatPr defaultRowHeight="12.75" x14ac:dyDescent="0.2"/>
  <cols>
    <col min="1" max="1" width="1.7109375" style="1" customWidth="1"/>
    <col min="2" max="2" width="34.5703125" style="1" customWidth="1"/>
    <col min="3" max="3" width="14.140625" style="1" customWidth="1"/>
    <col min="4" max="4" width="19.140625" style="1" bestFit="1" customWidth="1"/>
    <col min="5" max="5" width="11.7109375" style="1" bestFit="1" customWidth="1"/>
    <col min="6" max="6" width="14.85546875" style="1" bestFit="1" customWidth="1"/>
    <col min="7" max="11" width="9.140625" style="1"/>
    <col min="12" max="12" width="19.5703125" style="1" customWidth="1"/>
    <col min="13" max="13" width="8.42578125" style="1" bestFit="1" customWidth="1"/>
    <col min="14" max="16384" width="9.140625" style="1"/>
  </cols>
  <sheetData>
    <row r="1" spans="2:4" ht="18.75" customHeight="1" x14ac:dyDescent="0.2">
      <c r="B1" s="5" t="s">
        <v>80</v>
      </c>
    </row>
    <row r="6" spans="2:4" s="2" customFormat="1" ht="15" customHeight="1" x14ac:dyDescent="0.2">
      <c r="B6" s="8" t="s">
        <v>75</v>
      </c>
      <c r="C6" s="9"/>
      <c r="D6" s="9"/>
    </row>
    <row r="7" spans="2:4" x14ac:dyDescent="0.2">
      <c r="B7" s="6" t="s">
        <v>1</v>
      </c>
      <c r="C7" s="6" t="s">
        <v>41</v>
      </c>
      <c r="D7" s="7">
        <v>80</v>
      </c>
    </row>
    <row r="8" spans="2:4" x14ac:dyDescent="0.2">
      <c r="B8" s="6" t="s">
        <v>34</v>
      </c>
      <c r="C8" s="6">
        <v>75000</v>
      </c>
      <c r="D8" s="10">
        <v>6</v>
      </c>
    </row>
    <row r="9" spans="2:4" x14ac:dyDescent="0.2">
      <c r="B9" s="6" t="s">
        <v>35</v>
      </c>
      <c r="C9" s="6" t="s">
        <v>3</v>
      </c>
      <c r="D9" s="7">
        <v>85</v>
      </c>
    </row>
    <row r="10" spans="2:4" x14ac:dyDescent="0.2">
      <c r="B10" s="12" t="s">
        <v>74</v>
      </c>
      <c r="C10" s="6" t="s">
        <v>4</v>
      </c>
      <c r="D10" s="7">
        <v>180</v>
      </c>
    </row>
    <row r="11" spans="2:4" x14ac:dyDescent="0.2">
      <c r="B11" s="6" t="s">
        <v>36</v>
      </c>
      <c r="C11" s="6">
        <v>0</v>
      </c>
      <c r="D11" s="7">
        <v>58</v>
      </c>
    </row>
    <row r="12" spans="2:4" x14ac:dyDescent="0.2">
      <c r="B12" s="6" t="s">
        <v>42</v>
      </c>
      <c r="C12" s="6" t="s">
        <v>6</v>
      </c>
      <c r="D12" s="11">
        <f>((Zero_Grazed+(Summer_Grazed*'Farm plan'!C4))*D7)/1000</f>
        <v>9.2799999999999994</v>
      </c>
    </row>
    <row r="13" spans="2:4" x14ac:dyDescent="0.2">
      <c r="B13" s="6" t="s">
        <v>37</v>
      </c>
      <c r="C13" s="6" t="s">
        <v>6</v>
      </c>
      <c r="D13" s="11">
        <f t="shared" ref="D13:D14" si="0">D12*D8/100</f>
        <v>0.55679999999999996</v>
      </c>
    </row>
    <row r="14" spans="2:4" x14ac:dyDescent="0.2">
      <c r="B14" s="6" t="s">
        <v>38</v>
      </c>
      <c r="C14" s="6" t="s">
        <v>6</v>
      </c>
      <c r="D14" s="11">
        <f t="shared" si="0"/>
        <v>0.47327999999999998</v>
      </c>
    </row>
    <row r="15" spans="2:4" x14ac:dyDescent="0.2">
      <c r="B15" s="6" t="s">
        <v>39</v>
      </c>
      <c r="C15" s="6" t="s">
        <v>5</v>
      </c>
      <c r="D15" s="6">
        <f>D14*D10</f>
        <v>85.190399999999997</v>
      </c>
    </row>
    <row r="16" spans="2:4" x14ac:dyDescent="0.2">
      <c r="B16" s="6" t="s">
        <v>40</v>
      </c>
      <c r="C16" s="6"/>
      <c r="D16" s="6">
        <f>D15/D11*100</f>
        <v>146.88</v>
      </c>
    </row>
    <row r="17" spans="2:4" ht="15.75" customHeight="1" x14ac:dyDescent="0.2">
      <c r="B17" s="8" t="s">
        <v>76</v>
      </c>
      <c r="C17" s="8"/>
      <c r="D17" s="8"/>
    </row>
    <row r="18" spans="2:4" x14ac:dyDescent="0.2">
      <c r="B18" s="124" t="s">
        <v>43</v>
      </c>
      <c r="C18" s="124" t="s">
        <v>8</v>
      </c>
      <c r="D18" s="124">
        <f>Crop_Yield</f>
        <v>50</v>
      </c>
    </row>
    <row r="19" spans="2:4" x14ac:dyDescent="0.2">
      <c r="B19" s="6" t="s">
        <v>34</v>
      </c>
      <c r="C19" s="6"/>
      <c r="D19" s="10">
        <v>30</v>
      </c>
    </row>
    <row r="20" spans="2:4" x14ac:dyDescent="0.2">
      <c r="B20" s="6" t="s">
        <v>35</v>
      </c>
      <c r="C20" s="6" t="s">
        <v>3</v>
      </c>
      <c r="D20" s="7">
        <v>95</v>
      </c>
    </row>
    <row r="21" spans="2:4" x14ac:dyDescent="0.2">
      <c r="B21" s="12" t="s">
        <v>74</v>
      </c>
      <c r="C21" s="6">
        <v>0.35</v>
      </c>
      <c r="D21" s="7">
        <v>380</v>
      </c>
    </row>
    <row r="22" spans="2:4" x14ac:dyDescent="0.2">
      <c r="B22" s="6" t="s">
        <v>36</v>
      </c>
      <c r="C22" s="6" t="s">
        <v>14</v>
      </c>
      <c r="D22" s="7">
        <v>55</v>
      </c>
    </row>
    <row r="23" spans="2:4" x14ac:dyDescent="0.2">
      <c r="B23" s="124" t="s">
        <v>44</v>
      </c>
      <c r="C23" s="124" t="s">
        <v>45</v>
      </c>
      <c r="D23" s="124">
        <f>Crop_Price</f>
        <v>20</v>
      </c>
    </row>
    <row r="24" spans="2:4" x14ac:dyDescent="0.2">
      <c r="B24" s="6" t="s">
        <v>42</v>
      </c>
      <c r="C24" s="6" t="s">
        <v>9</v>
      </c>
      <c r="D24" s="11">
        <f>Dashboard!C9*D18/365</f>
        <v>6.3013698630136989</v>
      </c>
    </row>
    <row r="25" spans="2:4" x14ac:dyDescent="0.2">
      <c r="B25" s="6" t="s">
        <v>37</v>
      </c>
      <c r="C25" s="6" t="s">
        <v>6</v>
      </c>
      <c r="D25" s="11">
        <f t="shared" ref="D25:D26" si="1">D24*D19/100</f>
        <v>1.8904109589041096</v>
      </c>
    </row>
    <row r="26" spans="2:4" x14ac:dyDescent="0.2">
      <c r="B26" s="6" t="s">
        <v>38</v>
      </c>
      <c r="C26" s="6" t="s">
        <v>6</v>
      </c>
      <c r="D26" s="11">
        <f t="shared" si="1"/>
        <v>1.7958904109589042</v>
      </c>
    </row>
    <row r="27" spans="2:4" x14ac:dyDescent="0.2">
      <c r="B27" s="6" t="s">
        <v>39</v>
      </c>
      <c r="C27" s="6" t="s">
        <v>5</v>
      </c>
      <c r="D27" s="6">
        <f>D26*D21</f>
        <v>682.43835616438355</v>
      </c>
    </row>
    <row r="28" spans="2:4" x14ac:dyDescent="0.2">
      <c r="B28" s="6" t="s">
        <v>40</v>
      </c>
      <c r="C28" s="6" t="s">
        <v>5</v>
      </c>
      <c r="D28" s="6">
        <f>D27/D22*100</f>
        <v>1240.7970112079702</v>
      </c>
    </row>
    <row r="29" spans="2:4" x14ac:dyDescent="0.2">
      <c r="B29" s="6" t="s">
        <v>44</v>
      </c>
      <c r="C29" s="6" t="s">
        <v>46</v>
      </c>
      <c r="D29" s="6">
        <f>D24*365*D23</f>
        <v>46000</v>
      </c>
    </row>
    <row r="30" spans="2:4" ht="18" customHeight="1" x14ac:dyDescent="0.2">
      <c r="B30" s="8" t="s">
        <v>77</v>
      </c>
      <c r="C30" s="8"/>
      <c r="D30" s="8"/>
    </row>
    <row r="31" spans="2:4" x14ac:dyDescent="0.2">
      <c r="B31" s="6" t="s">
        <v>10</v>
      </c>
      <c r="C31" s="6" t="s">
        <v>9</v>
      </c>
      <c r="D31" s="11">
        <f>Calcs!D12+Calcs!D24</f>
        <v>15.581369863013698</v>
      </c>
    </row>
    <row r="32" spans="2:4" x14ac:dyDescent="0.2">
      <c r="B32" s="6" t="s">
        <v>11</v>
      </c>
      <c r="C32" s="6" t="s">
        <v>6</v>
      </c>
      <c r="D32" s="11">
        <f>Calcs!D13+Calcs!D25</f>
        <v>2.4472109589041096</v>
      </c>
    </row>
    <row r="33" spans="2:5" x14ac:dyDescent="0.2">
      <c r="B33" s="6" t="s">
        <v>12</v>
      </c>
      <c r="C33" s="6" t="s">
        <v>6</v>
      </c>
      <c r="D33" s="11">
        <f>Calcs!D14+Calcs!D26</f>
        <v>2.2691704109589041</v>
      </c>
    </row>
    <row r="34" spans="2:5" x14ac:dyDescent="0.2">
      <c r="B34" s="6" t="s">
        <v>13</v>
      </c>
      <c r="C34" s="6" t="s">
        <v>5</v>
      </c>
      <c r="D34" s="6">
        <f>Calcs!D15+Calcs!D27</f>
        <v>767.6287561643835</v>
      </c>
    </row>
    <row r="35" spans="2:5" x14ac:dyDescent="0.2">
      <c r="B35" s="6" t="s">
        <v>15</v>
      </c>
      <c r="C35" s="6" t="s">
        <v>5</v>
      </c>
      <c r="D35" s="6">
        <f>Calcs!D16+Calcs!D28</f>
        <v>1387.6770112079703</v>
      </c>
    </row>
    <row r="36" spans="2:5" x14ac:dyDescent="0.2">
      <c r="B36" s="6" t="s">
        <v>16</v>
      </c>
      <c r="C36" s="6" t="s">
        <v>17</v>
      </c>
      <c r="D36" s="6">
        <f>D34/24/3.6*35.7</f>
        <v>317.17993744292232</v>
      </c>
    </row>
    <row r="37" spans="2:5" ht="17.25" customHeight="1" x14ac:dyDescent="0.2">
      <c r="B37" s="8" t="s">
        <v>78</v>
      </c>
      <c r="C37" s="8"/>
      <c r="D37" s="8"/>
    </row>
    <row r="38" spans="2:5" s="2" customFormat="1" x14ac:dyDescent="0.2">
      <c r="B38" s="6" t="s">
        <v>30</v>
      </c>
      <c r="C38" s="6" t="s">
        <v>14</v>
      </c>
      <c r="D38" s="127">
        <f>3.6064*LN(D36)+14.191</f>
        <v>34.961949862957937</v>
      </c>
    </row>
    <row r="39" spans="2:5" x14ac:dyDescent="0.2">
      <c r="B39" s="6" t="s">
        <v>31</v>
      </c>
      <c r="C39" s="6" t="s">
        <v>14</v>
      </c>
      <c r="D39" s="123">
        <f>80-D38</f>
        <v>45.038050137042063</v>
      </c>
      <c r="E39" s="128">
        <f>D39/D38</f>
        <v>1.2882018970217597</v>
      </c>
    </row>
    <row r="40" spans="2:5" x14ac:dyDescent="0.2">
      <c r="B40" s="6" t="s">
        <v>219</v>
      </c>
      <c r="C40" s="6" t="s">
        <v>33</v>
      </c>
      <c r="D40" s="6">
        <f>(D36*D38/100)*0.9</f>
        <v>99.803061633740271</v>
      </c>
    </row>
    <row r="41" spans="2:5" x14ac:dyDescent="0.2">
      <c r="B41" s="6" t="s">
        <v>32</v>
      </c>
      <c r="C41" s="6" t="s">
        <v>17</v>
      </c>
      <c r="D41" s="6">
        <f>D36*D39/100</f>
        <v>142.851659250182</v>
      </c>
    </row>
    <row r="42" spans="2:5" ht="16.5" customHeight="1" x14ac:dyDescent="0.2">
      <c r="B42" s="8" t="s">
        <v>79</v>
      </c>
      <c r="C42" s="8"/>
      <c r="D42" s="8"/>
    </row>
    <row r="43" spans="2:5" x14ac:dyDescent="0.2">
      <c r="B43" s="6" t="s">
        <v>18</v>
      </c>
      <c r="C43" s="6" t="s">
        <v>20</v>
      </c>
      <c r="D43" s="7">
        <v>15</v>
      </c>
    </row>
    <row r="44" spans="2:5" x14ac:dyDescent="0.2">
      <c r="B44" s="6" t="s">
        <v>19</v>
      </c>
      <c r="C44" s="6" t="s">
        <v>20</v>
      </c>
      <c r="D44" s="7">
        <v>40</v>
      </c>
    </row>
    <row r="45" spans="2:5" x14ac:dyDescent="0.2">
      <c r="B45" s="6" t="s">
        <v>21</v>
      </c>
      <c r="C45" s="6" t="s">
        <v>17</v>
      </c>
      <c r="D45" s="6">
        <f>D31*(D44-D43)*4.19/24/3.6</f>
        <v>18.890607559614413</v>
      </c>
    </row>
    <row r="46" spans="2:5" x14ac:dyDescent="0.2">
      <c r="B46" s="6" t="s">
        <v>22</v>
      </c>
      <c r="C46" s="6" t="s">
        <v>20</v>
      </c>
      <c r="D46" s="7">
        <v>0</v>
      </c>
    </row>
    <row r="47" spans="2:5" x14ac:dyDescent="0.2">
      <c r="B47" s="6" t="s">
        <v>23</v>
      </c>
      <c r="C47" s="6" t="s">
        <v>17</v>
      </c>
      <c r="D47" s="7">
        <v>20</v>
      </c>
    </row>
    <row r="48" spans="2:5" x14ac:dyDescent="0.2">
      <c r="B48" s="6" t="s">
        <v>24</v>
      </c>
      <c r="C48" s="6" t="s">
        <v>17</v>
      </c>
      <c r="D48" s="6">
        <f>D45+D47</f>
        <v>38.890607559614409</v>
      </c>
    </row>
    <row r="49" spans="2:6" x14ac:dyDescent="0.2">
      <c r="B49" s="6" t="s">
        <v>25</v>
      </c>
      <c r="C49" s="6" t="s">
        <v>14</v>
      </c>
      <c r="D49" s="6">
        <f>D48/D41*100</f>
        <v>27.224470309794363</v>
      </c>
    </row>
    <row r="50" spans="2:6" x14ac:dyDescent="0.2">
      <c r="B50" s="6" t="s">
        <v>26</v>
      </c>
      <c r="C50" s="6" t="s">
        <v>17</v>
      </c>
      <c r="D50" s="6">
        <f>IF(D41-D48&lt;0,0,D41-D48)</f>
        <v>103.96105169056759</v>
      </c>
    </row>
    <row r="51" spans="2:6" ht="4.5" customHeight="1" x14ac:dyDescent="0.2">
      <c r="B51" s="3"/>
      <c r="C51" s="3"/>
      <c r="D51" s="3"/>
    </row>
    <row r="54" spans="2:6" ht="3" customHeight="1" x14ac:dyDescent="0.2"/>
    <row r="55" spans="2:6" x14ac:dyDescent="0.2">
      <c r="F55" s="1" t="s">
        <v>129</v>
      </c>
    </row>
    <row r="56" spans="2:6" x14ac:dyDescent="0.2">
      <c r="B56" s="13" t="s">
        <v>57</v>
      </c>
      <c r="C56" s="13"/>
      <c r="D56" s="13"/>
    </row>
    <row r="57" spans="2:6" x14ac:dyDescent="0.2">
      <c r="B57" s="3"/>
      <c r="C57" s="3"/>
      <c r="D57" s="3"/>
    </row>
    <row r="58" spans="2:6" x14ac:dyDescent="0.2">
      <c r="B58" s="13" t="s">
        <v>51</v>
      </c>
      <c r="C58" s="13"/>
      <c r="D58" s="14"/>
    </row>
    <row r="59" spans="2:6" x14ac:dyDescent="0.2">
      <c r="B59" s="3"/>
      <c r="C59" s="3"/>
      <c r="D59" s="3"/>
    </row>
    <row r="60" spans="2:6" x14ac:dyDescent="0.2">
      <c r="B60" s="3" t="str">
        <f>Dashboard!A6</f>
        <v>Number of zero-grazed dairy cows</v>
      </c>
      <c r="C60" s="3" t="str">
        <f>Dashboard!B6</f>
        <v>No.</v>
      </c>
      <c r="D60" s="3">
        <f>Dashboard!C6</f>
        <v>80</v>
      </c>
    </row>
    <row r="61" spans="2:6" x14ac:dyDescent="0.2">
      <c r="B61" s="3" t="str">
        <f>Dashboard!A9</f>
        <v>Area of Maize Silage</v>
      </c>
      <c r="C61" s="3" t="str">
        <f>Dashboard!B9</f>
        <v>ha</v>
      </c>
      <c r="D61" s="3">
        <f>Dashboard!C9</f>
        <v>46</v>
      </c>
    </row>
    <row r="62" spans="2:6" x14ac:dyDescent="0.2">
      <c r="B62" s="15" t="s">
        <v>81</v>
      </c>
      <c r="C62" s="15"/>
      <c r="D62" s="15"/>
    </row>
    <row r="63" spans="2:6" x14ac:dyDescent="0.2">
      <c r="B63" s="3" t="s">
        <v>53</v>
      </c>
      <c r="C63" s="3" t="s">
        <v>27</v>
      </c>
      <c r="D63" s="4">
        <f>((-2453*LN(Elec_Capacity))+19495)*Elec_Capacity</f>
        <v>818719.76453352883</v>
      </c>
    </row>
    <row r="64" spans="2:6" x14ac:dyDescent="0.2">
      <c r="B64" s="15" t="s">
        <v>82</v>
      </c>
      <c r="C64" s="15"/>
      <c r="D64" s="15">
        <f>((-2453*LN(Elec_Capacity))+19495)*Elec_Capacity</f>
        <v>818719.76453352883</v>
      </c>
    </row>
    <row r="65" spans="2:8" x14ac:dyDescent="0.2">
      <c r="B65" s="3" t="s">
        <v>70</v>
      </c>
      <c r="C65" s="3" t="s">
        <v>33</v>
      </c>
      <c r="D65" s="3">
        <f>Calcs!D40</f>
        <v>99.803061633740271</v>
      </c>
    </row>
    <row r="66" spans="2:8" x14ac:dyDescent="0.2">
      <c r="B66" s="3" t="s">
        <v>71</v>
      </c>
      <c r="C66" s="3" t="s">
        <v>14</v>
      </c>
      <c r="D66" s="4">
        <v>90</v>
      </c>
    </row>
    <row r="67" spans="2:8" x14ac:dyDescent="0.2">
      <c r="B67" s="113" t="s">
        <v>152</v>
      </c>
      <c r="C67" s="113" t="s">
        <v>153</v>
      </c>
      <c r="D67" s="4">
        <f>8760*(D66/100)</f>
        <v>7884</v>
      </c>
    </row>
    <row r="68" spans="2:8" s="112" customFormat="1" x14ac:dyDescent="0.2">
      <c r="B68" s="3" t="s">
        <v>54</v>
      </c>
      <c r="C68" s="3" t="s">
        <v>72</v>
      </c>
      <c r="D68" s="3">
        <f>(D65*(8760*D66))/100</f>
        <v>786847.33792040823</v>
      </c>
    </row>
    <row r="69" spans="2:8" x14ac:dyDescent="0.2">
      <c r="B69" s="125" t="s">
        <v>166</v>
      </c>
      <c r="C69" s="125" t="s">
        <v>72</v>
      </c>
      <c r="D69" s="125">
        <f>Elec_Bill/(Elec_Price/100)</f>
        <v>25420</v>
      </c>
    </row>
    <row r="70" spans="2:8" x14ac:dyDescent="0.2">
      <c r="B70" s="3" t="s">
        <v>218</v>
      </c>
      <c r="C70" s="3" t="s">
        <v>14</v>
      </c>
      <c r="D70" s="139">
        <f>D68/D69</f>
        <v>30.953868525586476</v>
      </c>
    </row>
    <row r="71" spans="2:8" x14ac:dyDescent="0.2">
      <c r="B71" s="3" t="s">
        <v>63</v>
      </c>
      <c r="C71" s="3" t="s">
        <v>72</v>
      </c>
      <c r="D71" s="3">
        <f>IF(D68-D69&lt;0,0,D68-D69)</f>
        <v>761427.33792040823</v>
      </c>
    </row>
    <row r="72" spans="2:8" x14ac:dyDescent="0.2">
      <c r="B72" s="3" t="s">
        <v>64</v>
      </c>
      <c r="C72" s="3" t="s">
        <v>72</v>
      </c>
      <c r="D72" s="3">
        <f>D68-D71</f>
        <v>25420</v>
      </c>
      <c r="G72" s="1" t="s">
        <v>220</v>
      </c>
      <c r="H72" s="1" t="s">
        <v>221</v>
      </c>
    </row>
    <row r="73" spans="2:8" s="112" customFormat="1" x14ac:dyDescent="0.2">
      <c r="B73" s="113" t="s">
        <v>138</v>
      </c>
      <c r="C73" s="113" t="s">
        <v>72</v>
      </c>
      <c r="D73" s="113">
        <f>D41*Ops_Hours</f>
        <v>1126242.4815284349</v>
      </c>
      <c r="F73" s="112" t="s">
        <v>223</v>
      </c>
      <c r="G73" s="129">
        <f>D78/D75</f>
        <v>1</v>
      </c>
      <c r="H73" s="129">
        <f>D68/D69</f>
        <v>30.953868525586476</v>
      </c>
    </row>
    <row r="74" spans="2:8" s="112" customFormat="1" x14ac:dyDescent="0.2">
      <c r="B74" s="113" t="s">
        <v>173</v>
      </c>
      <c r="C74" s="113" t="s">
        <v>72</v>
      </c>
      <c r="D74" s="113">
        <f>D50*Ops_Hours</f>
        <v>819628.93152843486</v>
      </c>
      <c r="F74" s="112" t="s">
        <v>222</v>
      </c>
      <c r="G74" s="129">
        <f>1-G73</f>
        <v>0</v>
      </c>
      <c r="H74" s="129">
        <f>IF(H73&gt;1, 0,1-H73)</f>
        <v>0</v>
      </c>
    </row>
    <row r="75" spans="2:8" s="112" customFormat="1" x14ac:dyDescent="0.2">
      <c r="B75" s="125" t="s">
        <v>170</v>
      </c>
      <c r="C75" s="125" t="s">
        <v>72</v>
      </c>
      <c r="D75" s="125">
        <f>(Heat_Bill/(Heat_Price/100))*(1+(1-Blr_Efficiency))</f>
        <v>269170</v>
      </c>
      <c r="E75" s="129">
        <v>0.9</v>
      </c>
      <c r="F75" s="128"/>
    </row>
    <row r="76" spans="2:8" s="112" customFormat="1" x14ac:dyDescent="0.2">
      <c r="B76" s="113" t="s">
        <v>171</v>
      </c>
      <c r="C76" s="113" t="s">
        <v>14</v>
      </c>
      <c r="D76" s="141">
        <f>D75/D74</f>
        <v>0.32840470808912858</v>
      </c>
      <c r="E76" s="129"/>
      <c r="F76" s="128"/>
    </row>
    <row r="77" spans="2:8" s="112" customFormat="1" x14ac:dyDescent="0.2">
      <c r="B77" s="113" t="s">
        <v>172</v>
      </c>
      <c r="C77" s="113" t="s">
        <v>72</v>
      </c>
      <c r="D77" s="113">
        <f>IF(D74-D75&gt;0,D74-D75,0)</f>
        <v>550458.93152843486</v>
      </c>
      <c r="E77" s="129"/>
      <c r="F77" s="128"/>
    </row>
    <row r="78" spans="2:8" s="112" customFormat="1" x14ac:dyDescent="0.2">
      <c r="B78" s="113" t="s">
        <v>169</v>
      </c>
      <c r="C78" s="113"/>
      <c r="D78" s="113">
        <f>IF(D75&lt;D74,D75,D74)</f>
        <v>269170</v>
      </c>
      <c r="E78" s="129"/>
      <c r="F78" s="128"/>
    </row>
    <row r="79" spans="2:8" x14ac:dyDescent="0.2">
      <c r="B79" s="15" t="s">
        <v>136</v>
      </c>
      <c r="C79" s="15"/>
      <c r="D79" s="15"/>
    </row>
    <row r="80" spans="2:8" ht="13.5" thickBot="1" x14ac:dyDescent="0.25">
      <c r="B80" s="113" t="s">
        <v>58</v>
      </c>
      <c r="C80" s="113" t="s">
        <v>84</v>
      </c>
      <c r="D80" s="120">
        <f>IF(Elec_Capacity&lt;G81,I81,(IF(Elec_Capacity&lt;H82,I82,I83)))</f>
        <v>15.16</v>
      </c>
      <c r="F80" s="121" t="s">
        <v>131</v>
      </c>
    </row>
    <row r="81" spans="2:12" ht="24.75" thickBot="1" x14ac:dyDescent="0.25">
      <c r="B81" s="3" t="s">
        <v>59</v>
      </c>
      <c r="C81" s="3" t="s">
        <v>84</v>
      </c>
      <c r="D81" s="16">
        <f>Export_Tariff</f>
        <v>4.5999999999999996</v>
      </c>
      <c r="F81" s="118" t="s">
        <v>130</v>
      </c>
      <c r="G81" s="119">
        <v>250</v>
      </c>
      <c r="H81" s="119"/>
      <c r="I81" s="119">
        <v>15.16</v>
      </c>
    </row>
    <row r="82" spans="2:12" ht="24.75" thickBot="1" x14ac:dyDescent="0.25">
      <c r="B82" s="125" t="s">
        <v>60</v>
      </c>
      <c r="C82" s="125" t="s">
        <v>84</v>
      </c>
      <c r="D82" s="126">
        <f>Elec_Price</f>
        <v>20</v>
      </c>
      <c r="F82" s="118" t="s">
        <v>130</v>
      </c>
      <c r="G82" s="119">
        <v>250</v>
      </c>
      <c r="H82" s="119">
        <v>500</v>
      </c>
      <c r="I82" s="119">
        <v>14.02</v>
      </c>
    </row>
    <row r="83" spans="2:12" ht="24.75" thickBot="1" x14ac:dyDescent="0.25">
      <c r="B83" s="3" t="s">
        <v>61</v>
      </c>
      <c r="C83" s="3" t="s">
        <v>28</v>
      </c>
      <c r="D83" s="3">
        <f>D68*(D80/100)</f>
        <v>119286.05642873389</v>
      </c>
      <c r="E83" s="154">
        <f>D83/1000</f>
        <v>119.28605642873389</v>
      </c>
      <c r="F83" s="118" t="s">
        <v>130</v>
      </c>
      <c r="H83" s="119">
        <v>500</v>
      </c>
      <c r="I83" s="119">
        <v>9.24</v>
      </c>
    </row>
    <row r="84" spans="2:12" x14ac:dyDescent="0.2">
      <c r="B84" s="3" t="s">
        <v>62</v>
      </c>
      <c r="C84" s="3" t="s">
        <v>28</v>
      </c>
      <c r="D84" s="3">
        <f>IF(D71*(D81/100)&lt;0,0,D71*(D81/100))</f>
        <v>35025.657544338777</v>
      </c>
      <c r="E84" s="154">
        <f>D84/1000</f>
        <v>35.025657544338777</v>
      </c>
    </row>
    <row r="85" spans="2:12" x14ac:dyDescent="0.2">
      <c r="B85" s="3" t="s">
        <v>60</v>
      </c>
      <c r="C85" s="3" t="s">
        <v>28</v>
      </c>
      <c r="D85" s="143">
        <f>D72*D82/100</f>
        <v>5084</v>
      </c>
      <c r="E85" s="154">
        <f>D85/1000</f>
        <v>5.0839999999999996</v>
      </c>
    </row>
    <row r="86" spans="2:12" x14ac:dyDescent="0.2">
      <c r="B86" s="3" t="s">
        <v>65</v>
      </c>
      <c r="C86" s="3" t="s">
        <v>28</v>
      </c>
      <c r="D86" s="143">
        <f>SUM(D83:D85)</f>
        <v>159395.71397307268</v>
      </c>
    </row>
    <row r="87" spans="2:12" ht="60.75" thickBot="1" x14ac:dyDescent="0.3">
      <c r="B87" s="15" t="s">
        <v>137</v>
      </c>
      <c r="C87" s="15"/>
      <c r="D87" s="15"/>
      <c r="F87" s="112"/>
      <c r="G87" s="132" t="s">
        <v>141</v>
      </c>
      <c r="H87" s="132" t="s">
        <v>142</v>
      </c>
      <c r="I87" s="133" t="s">
        <v>143</v>
      </c>
      <c r="J87" s="133" t="s">
        <v>144</v>
      </c>
      <c r="K87" s="133" t="s">
        <v>145</v>
      </c>
      <c r="L87" s="133"/>
    </row>
    <row r="88" spans="2:12" s="112" customFormat="1" ht="24.75" thickBot="1" x14ac:dyDescent="0.3">
      <c r="B88" s="126" t="s">
        <v>139</v>
      </c>
      <c r="C88" s="126" t="s">
        <v>84</v>
      </c>
      <c r="D88" s="126">
        <f>Heat_Price</f>
        <v>6</v>
      </c>
      <c r="G88" s="118" t="s">
        <v>146</v>
      </c>
      <c r="H88" s="131"/>
      <c r="I88" s="131"/>
      <c r="J88" s="134">
        <v>7.3</v>
      </c>
      <c r="K88" s="131"/>
      <c r="L88" s="134" t="s">
        <v>84</v>
      </c>
    </row>
    <row r="89" spans="2:12" s="112" customFormat="1" ht="36.75" thickBot="1" x14ac:dyDescent="0.3">
      <c r="B89" s="112" t="s">
        <v>169</v>
      </c>
      <c r="C89" s="112" t="s">
        <v>72</v>
      </c>
      <c r="D89" s="112">
        <f>D74-D77</f>
        <v>269170</v>
      </c>
      <c r="G89" s="118" t="s">
        <v>147</v>
      </c>
      <c r="H89" s="135" t="s">
        <v>148</v>
      </c>
      <c r="I89" s="134">
        <v>200</v>
      </c>
      <c r="J89" s="134">
        <v>7.3</v>
      </c>
      <c r="K89" s="131">
        <v>0</v>
      </c>
      <c r="L89" s="134" t="s">
        <v>84</v>
      </c>
    </row>
    <row r="90" spans="2:12" s="112" customFormat="1" ht="36.75" thickBot="1" x14ac:dyDescent="0.3">
      <c r="B90" s="112" t="s">
        <v>154</v>
      </c>
      <c r="C90" s="112" t="s">
        <v>84</v>
      </c>
      <c r="D90" s="112">
        <f>IF(Ops_Hours&gt;1314,1314,Ops_Hours)</f>
        <v>1314</v>
      </c>
      <c r="E90" s="129">
        <f>D90/(D90+D91)</f>
        <v>0.16666666666666666</v>
      </c>
      <c r="F90" s="129"/>
      <c r="G90" s="118" t="s">
        <v>149</v>
      </c>
      <c r="H90" s="135" t="s">
        <v>148</v>
      </c>
      <c r="I90" s="134">
        <v>200</v>
      </c>
      <c r="J90" s="134">
        <v>8.6</v>
      </c>
      <c r="K90" s="134">
        <v>2.2000000000000002</v>
      </c>
      <c r="L90" s="134" t="s">
        <v>84</v>
      </c>
    </row>
    <row r="91" spans="2:12" s="112" customFormat="1" ht="15.75" thickBot="1" x14ac:dyDescent="0.3">
      <c r="B91" s="112" t="s">
        <v>155</v>
      </c>
      <c r="C91" s="112" t="s">
        <v>84</v>
      </c>
      <c r="D91" s="140">
        <f>Ops_Hours-D90</f>
        <v>6570</v>
      </c>
      <c r="E91" s="129">
        <f>D91/(D91+D90)</f>
        <v>0.83333333333333337</v>
      </c>
      <c r="F91" s="129"/>
      <c r="G91" s="118"/>
      <c r="H91" s="135"/>
      <c r="I91" s="134"/>
      <c r="J91" s="134"/>
      <c r="K91" s="134"/>
      <c r="L91" s="134"/>
    </row>
    <row r="92" spans="2:12" s="112" customFormat="1" ht="15.75" thickBot="1" x14ac:dyDescent="0.3">
      <c r="B92" s="112" t="s">
        <v>167</v>
      </c>
      <c r="D92" s="128">
        <f>E92*D89</f>
        <v>19649.41</v>
      </c>
      <c r="E92" s="128">
        <f>IF(D41&lt;I89,J89/100,0)</f>
        <v>7.2999999999999995E-2</v>
      </c>
      <c r="F92" s="154">
        <f>D92/1000</f>
        <v>19.64941</v>
      </c>
      <c r="G92" s="118"/>
      <c r="H92" s="135"/>
      <c r="I92" s="134"/>
      <c r="J92" s="134"/>
      <c r="K92" s="134"/>
      <c r="L92" s="134"/>
    </row>
    <row r="93" spans="2:12" s="112" customFormat="1" ht="36.75" thickBot="1" x14ac:dyDescent="0.3">
      <c r="B93" s="112" t="s">
        <v>168</v>
      </c>
      <c r="C93" s="112" t="s">
        <v>28</v>
      </c>
      <c r="D93" s="142">
        <f>D89*(D88/100)</f>
        <v>16150.199999999999</v>
      </c>
      <c r="E93" s="154">
        <f>D93/1000</f>
        <v>16.150199999999998</v>
      </c>
      <c r="F93" s="154"/>
      <c r="G93" s="118" t="s">
        <v>150</v>
      </c>
      <c r="H93" s="135" t="s">
        <v>148</v>
      </c>
      <c r="I93" s="134">
        <v>1000</v>
      </c>
      <c r="J93" s="134">
        <v>5</v>
      </c>
      <c r="K93" s="134">
        <v>2.1</v>
      </c>
      <c r="L93" s="134" t="s">
        <v>84</v>
      </c>
    </row>
    <row r="94" spans="2:12" s="112" customFormat="1" ht="36.75" thickBot="1" x14ac:dyDescent="0.3">
      <c r="B94" s="112" t="s">
        <v>140</v>
      </c>
      <c r="C94" s="112" t="s">
        <v>28</v>
      </c>
      <c r="D94" s="142">
        <f>D93+D92</f>
        <v>35799.61</v>
      </c>
      <c r="E94" s="154">
        <f>D94/1000</f>
        <v>35.799610000000001</v>
      </c>
      <c r="F94" s="154"/>
      <c r="G94" s="118" t="s">
        <v>150</v>
      </c>
      <c r="H94" s="135" t="s">
        <v>151</v>
      </c>
      <c r="I94" s="134">
        <v>1000</v>
      </c>
      <c r="J94" s="134">
        <v>1</v>
      </c>
      <c r="K94" s="134">
        <v>1</v>
      </c>
      <c r="L94" s="134" t="s">
        <v>84</v>
      </c>
    </row>
    <row r="95" spans="2:12" s="112" customFormat="1" x14ac:dyDescent="0.2"/>
    <row r="96" spans="2:12" s="112" customFormat="1" x14ac:dyDescent="0.2">
      <c r="B96" s="114" t="s">
        <v>135</v>
      </c>
      <c r="C96" s="114"/>
      <c r="D96" s="114"/>
    </row>
    <row r="97" spans="2:6" x14ac:dyDescent="0.2">
      <c r="B97" s="3" t="s">
        <v>68</v>
      </c>
      <c r="C97" s="3" t="s">
        <v>29</v>
      </c>
      <c r="D97" s="4">
        <f>0.4515*D68^0.5126</f>
        <v>475.21617527337384</v>
      </c>
    </row>
    <row r="98" spans="2:6" x14ac:dyDescent="0.2">
      <c r="B98" s="3" t="s">
        <v>47</v>
      </c>
      <c r="C98" s="3" t="s">
        <v>48</v>
      </c>
      <c r="D98" s="4">
        <v>15</v>
      </c>
    </row>
    <row r="99" spans="2:6" x14ac:dyDescent="0.2">
      <c r="B99" s="3" t="s">
        <v>49</v>
      </c>
      <c r="C99" s="3" t="s">
        <v>28</v>
      </c>
      <c r="D99" s="3">
        <f>D97*D98</f>
        <v>7128.2426291006077</v>
      </c>
      <c r="E99" s="144">
        <f>-D99</f>
        <v>-7128.2426291006077</v>
      </c>
    </row>
    <row r="100" spans="2:6" x14ac:dyDescent="0.2">
      <c r="B100" s="3" t="s">
        <v>55</v>
      </c>
      <c r="C100" s="3" t="s">
        <v>28</v>
      </c>
      <c r="D100" s="4">
        <f>42.975*D68^0.406</f>
        <v>10640.141907382374</v>
      </c>
      <c r="E100" s="144">
        <f>-D100</f>
        <v>-10640.141907382374</v>
      </c>
    </row>
    <row r="101" spans="2:6" x14ac:dyDescent="0.2">
      <c r="B101" s="3" t="s">
        <v>56</v>
      </c>
      <c r="C101" s="3" t="s">
        <v>28</v>
      </c>
      <c r="D101" s="113">
        <f>0.0119*D68+436.98</f>
        <v>9800.4633212528588</v>
      </c>
      <c r="E101" s="144">
        <f>-D101</f>
        <v>-9800.4633212528588</v>
      </c>
      <c r="F101" s="3">
        <f>ROUNDUP(D68*0.012,-3)</f>
        <v>10000</v>
      </c>
    </row>
    <row r="102" spans="2:6" x14ac:dyDescent="0.2">
      <c r="B102" s="1" t="s">
        <v>176</v>
      </c>
      <c r="C102" s="1" t="s">
        <v>28</v>
      </c>
      <c r="D102" s="1">
        <f>D101+D100+D99</f>
        <v>27568.847857735844</v>
      </c>
      <c r="E102" s="144">
        <f>(-1)*D102</f>
        <v>-27568.847857735844</v>
      </c>
      <c r="F102" s="154">
        <f>E102/1000</f>
        <v>-27.568847857735843</v>
      </c>
    </row>
    <row r="103" spans="2:6" x14ac:dyDescent="0.2">
      <c r="B103" s="3" t="s">
        <v>0</v>
      </c>
      <c r="C103" s="3" t="s">
        <v>28</v>
      </c>
      <c r="D103" s="3">
        <f>D29</f>
        <v>46000</v>
      </c>
      <c r="E103" s="144">
        <f>-D103</f>
        <v>-46000</v>
      </c>
      <c r="F103" s="154">
        <f>E103/1000</f>
        <v>-46</v>
      </c>
    </row>
    <row r="104" spans="2:6" x14ac:dyDescent="0.2">
      <c r="B104" s="3" t="s">
        <v>69</v>
      </c>
      <c r="C104" s="3" t="s">
        <v>28</v>
      </c>
      <c r="D104" s="3">
        <f>SUM(D102:D103)</f>
        <v>73568.847857735847</v>
      </c>
      <c r="E104" s="1">
        <f>-D104</f>
        <v>-73568.847857735847</v>
      </c>
    </row>
    <row r="105" spans="2:6" x14ac:dyDescent="0.2">
      <c r="B105" s="3"/>
      <c r="C105" s="3"/>
      <c r="D105" s="3"/>
    </row>
    <row r="106" spans="2:6" x14ac:dyDescent="0.2">
      <c r="B106" s="3" t="s">
        <v>65</v>
      </c>
      <c r="C106" s="3" t="s">
        <v>28</v>
      </c>
      <c r="D106" s="143">
        <f>D86</f>
        <v>159395.71397307268</v>
      </c>
    </row>
    <row r="107" spans="2:6" s="112" customFormat="1" x14ac:dyDescent="0.2">
      <c r="B107" s="113" t="s">
        <v>174</v>
      </c>
      <c r="C107" s="113" t="s">
        <v>28</v>
      </c>
      <c r="D107" s="143">
        <f>D94</f>
        <v>35799.61</v>
      </c>
    </row>
    <row r="108" spans="2:6" x14ac:dyDescent="0.2">
      <c r="B108" s="3" t="s">
        <v>52</v>
      </c>
      <c r="C108" s="3" t="s">
        <v>28</v>
      </c>
      <c r="D108" s="143">
        <f>(-1)*Calcs!D104</f>
        <v>-73568.847857735847</v>
      </c>
    </row>
    <row r="109" spans="2:6" x14ac:dyDescent="0.2">
      <c r="B109" s="3" t="s">
        <v>66</v>
      </c>
      <c r="C109" s="3" t="s">
        <v>28</v>
      </c>
      <c r="D109" s="143">
        <f>SUM(D106:D108)</f>
        <v>121626.47611533685</v>
      </c>
    </row>
    <row r="110" spans="2:6" x14ac:dyDescent="0.2">
      <c r="B110" s="15" t="s">
        <v>83</v>
      </c>
      <c r="C110" s="15"/>
      <c r="D110" s="15"/>
    </row>
    <row r="111" spans="2:6" x14ac:dyDescent="0.2">
      <c r="B111" s="3" t="s">
        <v>73</v>
      </c>
      <c r="C111" s="3"/>
      <c r="D111" s="3"/>
      <c r="E111" s="1" t="s">
        <v>204</v>
      </c>
      <c r="F111" s="1" t="s">
        <v>203</v>
      </c>
    </row>
    <row r="112" spans="2:6" x14ac:dyDescent="0.2">
      <c r="B112" s="3">
        <v>0</v>
      </c>
      <c r="C112" s="3"/>
      <c r="D112" s="3">
        <f>-D63</f>
        <v>-818719.76453352883</v>
      </c>
      <c r="E112" s="112">
        <f>D112+D111</f>
        <v>-818719.76453352883</v>
      </c>
      <c r="F112" s="154">
        <f>E112/1000</f>
        <v>-818.71976453352886</v>
      </c>
    </row>
    <row r="113" spans="2:6" x14ac:dyDescent="0.2">
      <c r="B113" s="3">
        <v>1</v>
      </c>
      <c r="C113" s="3"/>
      <c r="D113" s="3">
        <f t="shared" ref="D113:D127" si="2">D$109</f>
        <v>121626.47611533685</v>
      </c>
      <c r="E113" s="1">
        <f>D113+D112</f>
        <v>-697093.28841819195</v>
      </c>
      <c r="F113" s="154">
        <f t="shared" ref="F113:F127" si="3">E113/1000</f>
        <v>-697.09328841819195</v>
      </c>
    </row>
    <row r="114" spans="2:6" x14ac:dyDescent="0.2">
      <c r="B114" s="113">
        <v>2</v>
      </c>
      <c r="C114" s="3"/>
      <c r="D114" s="3">
        <f t="shared" si="2"/>
        <v>121626.47611533685</v>
      </c>
      <c r="E114" s="1">
        <f>D114+E113</f>
        <v>-575466.81230285508</v>
      </c>
      <c r="F114" s="154">
        <f t="shared" si="3"/>
        <v>-575.46681230285503</v>
      </c>
    </row>
    <row r="115" spans="2:6" x14ac:dyDescent="0.2">
      <c r="B115" s="113">
        <v>3</v>
      </c>
      <c r="C115" s="3"/>
      <c r="D115" s="3">
        <f t="shared" si="2"/>
        <v>121626.47611533685</v>
      </c>
      <c r="E115" s="112">
        <f t="shared" ref="E115:E122" si="4">D115+E114</f>
        <v>-453840.3361875182</v>
      </c>
      <c r="F115" s="154">
        <f t="shared" si="3"/>
        <v>-453.84033618751818</v>
      </c>
    </row>
    <row r="116" spans="2:6" x14ac:dyDescent="0.2">
      <c r="B116" s="113">
        <v>4</v>
      </c>
      <c r="C116" s="3"/>
      <c r="D116" s="3">
        <f t="shared" si="2"/>
        <v>121626.47611533685</v>
      </c>
      <c r="E116" s="112">
        <f t="shared" si="4"/>
        <v>-332213.86007218133</v>
      </c>
      <c r="F116" s="154">
        <f t="shared" si="3"/>
        <v>-332.21386007218132</v>
      </c>
    </row>
    <row r="117" spans="2:6" x14ac:dyDescent="0.2">
      <c r="B117" s="113">
        <v>5</v>
      </c>
      <c r="C117" s="3"/>
      <c r="D117" s="3">
        <f t="shared" si="2"/>
        <v>121626.47611533685</v>
      </c>
      <c r="E117" s="112">
        <f t="shared" si="4"/>
        <v>-210587.38395684448</v>
      </c>
      <c r="F117" s="154">
        <f t="shared" si="3"/>
        <v>-210.58738395684449</v>
      </c>
    </row>
    <row r="118" spans="2:6" x14ac:dyDescent="0.2">
      <c r="B118" s="113">
        <v>6</v>
      </c>
      <c r="C118" s="3"/>
      <c r="D118" s="3">
        <f t="shared" si="2"/>
        <v>121626.47611533685</v>
      </c>
      <c r="E118" s="112">
        <f t="shared" si="4"/>
        <v>-88960.907841507636</v>
      </c>
      <c r="F118" s="154">
        <f t="shared" si="3"/>
        <v>-88.960907841507634</v>
      </c>
    </row>
    <row r="119" spans="2:6" x14ac:dyDescent="0.2">
      <c r="B119" s="113">
        <v>7</v>
      </c>
      <c r="C119" s="3"/>
      <c r="D119" s="3">
        <f t="shared" si="2"/>
        <v>121626.47611533685</v>
      </c>
      <c r="E119" s="112">
        <f t="shared" si="4"/>
        <v>32665.568273829209</v>
      </c>
      <c r="F119" s="154">
        <f t="shared" si="3"/>
        <v>32.665568273829209</v>
      </c>
    </row>
    <row r="120" spans="2:6" x14ac:dyDescent="0.2">
      <c r="B120" s="113">
        <v>8</v>
      </c>
      <c r="C120" s="3"/>
      <c r="D120" s="3">
        <f t="shared" si="2"/>
        <v>121626.47611533685</v>
      </c>
      <c r="E120" s="112">
        <f t="shared" si="4"/>
        <v>154292.04438916605</v>
      </c>
      <c r="F120" s="154">
        <f t="shared" si="3"/>
        <v>154.29204438916605</v>
      </c>
    </row>
    <row r="121" spans="2:6" x14ac:dyDescent="0.2">
      <c r="B121" s="113">
        <v>9</v>
      </c>
      <c r="C121" s="3"/>
      <c r="D121" s="3">
        <f t="shared" si="2"/>
        <v>121626.47611533685</v>
      </c>
      <c r="E121" s="112">
        <f t="shared" si="4"/>
        <v>275918.52050450293</v>
      </c>
      <c r="F121" s="154">
        <f t="shared" si="3"/>
        <v>275.91852050450291</v>
      </c>
    </row>
    <row r="122" spans="2:6" x14ac:dyDescent="0.2">
      <c r="B122" s="113">
        <v>10</v>
      </c>
      <c r="C122" s="3"/>
      <c r="D122" s="3">
        <f t="shared" si="2"/>
        <v>121626.47611533685</v>
      </c>
      <c r="E122" s="112">
        <f t="shared" si="4"/>
        <v>397544.9966198398</v>
      </c>
      <c r="F122" s="154">
        <f t="shared" si="3"/>
        <v>397.54499661983982</v>
      </c>
    </row>
    <row r="123" spans="2:6" s="112" customFormat="1" x14ac:dyDescent="0.2">
      <c r="B123" s="113">
        <v>11</v>
      </c>
      <c r="C123" s="113"/>
      <c r="D123" s="113">
        <f t="shared" si="2"/>
        <v>121626.47611533685</v>
      </c>
      <c r="E123" s="112">
        <f t="shared" ref="E123:E127" si="5">D123+E122</f>
        <v>519171.47273517668</v>
      </c>
      <c r="F123" s="154">
        <f t="shared" si="3"/>
        <v>519.17147273517662</v>
      </c>
    </row>
    <row r="124" spans="2:6" s="112" customFormat="1" x14ac:dyDescent="0.2">
      <c r="B124" s="113">
        <v>12</v>
      </c>
      <c r="C124" s="113"/>
      <c r="D124" s="113">
        <f t="shared" si="2"/>
        <v>121626.47611533685</v>
      </c>
      <c r="E124" s="112">
        <f t="shared" si="5"/>
        <v>640797.94885051355</v>
      </c>
      <c r="F124" s="154">
        <f t="shared" si="3"/>
        <v>640.79794885051354</v>
      </c>
    </row>
    <row r="125" spans="2:6" s="112" customFormat="1" x14ac:dyDescent="0.2">
      <c r="B125" s="113">
        <v>13</v>
      </c>
      <c r="C125" s="113"/>
      <c r="D125" s="113">
        <f t="shared" si="2"/>
        <v>121626.47611533685</v>
      </c>
      <c r="E125" s="112">
        <f t="shared" si="5"/>
        <v>762424.42496585043</v>
      </c>
      <c r="F125" s="154">
        <f t="shared" si="3"/>
        <v>762.42442496585045</v>
      </c>
    </row>
    <row r="126" spans="2:6" s="112" customFormat="1" x14ac:dyDescent="0.2">
      <c r="B126" s="113">
        <v>14</v>
      </c>
      <c r="C126" s="113"/>
      <c r="D126" s="113">
        <f t="shared" si="2"/>
        <v>121626.47611533685</v>
      </c>
      <c r="E126" s="112">
        <f t="shared" si="5"/>
        <v>884050.9010811873</v>
      </c>
      <c r="F126" s="154">
        <f t="shared" si="3"/>
        <v>884.05090108118725</v>
      </c>
    </row>
    <row r="127" spans="2:6" s="112" customFormat="1" x14ac:dyDescent="0.2">
      <c r="B127" s="113">
        <v>15</v>
      </c>
      <c r="C127" s="113"/>
      <c r="D127" s="113">
        <f t="shared" si="2"/>
        <v>121626.47611533685</v>
      </c>
      <c r="E127" s="112">
        <f t="shared" si="5"/>
        <v>1005677.3771965242</v>
      </c>
      <c r="F127" s="154">
        <f t="shared" si="3"/>
        <v>1005.6773771965242</v>
      </c>
    </row>
    <row r="128" spans="2:6" x14ac:dyDescent="0.2">
      <c r="B128" s="3"/>
      <c r="C128" s="3"/>
      <c r="D128" s="3"/>
    </row>
    <row r="129" spans="2:4" x14ac:dyDescent="0.2">
      <c r="B129" s="3" t="s">
        <v>50</v>
      </c>
      <c r="C129" s="3"/>
      <c r="D129" s="3">
        <f>IRR(D112:D122)*100</f>
        <v>7.9296445924688985</v>
      </c>
    </row>
    <row r="130" spans="2:4" x14ac:dyDescent="0.2">
      <c r="B130" s="1" t="s">
        <v>133</v>
      </c>
      <c r="D130" s="129">
        <v>0.15</v>
      </c>
    </row>
    <row r="131" spans="2:4" x14ac:dyDescent="0.2">
      <c r="B131" s="1" t="s">
        <v>134</v>
      </c>
      <c r="D131" s="1">
        <f>NPV(D130,D112:D122)</f>
        <v>-181134.45402840638</v>
      </c>
    </row>
    <row r="133" spans="2:4" x14ac:dyDescent="0.2">
      <c r="B133" s="3"/>
      <c r="C133" s="3"/>
      <c r="D133" s="3"/>
    </row>
    <row r="134" spans="2:4" x14ac:dyDescent="0.2">
      <c r="B134" s="3" t="s">
        <v>85</v>
      </c>
      <c r="C134" s="3"/>
      <c r="D134" s="111">
        <f>D63/D109</f>
        <v>6.7314271586488061</v>
      </c>
    </row>
    <row r="135" spans="2:4" x14ac:dyDescent="0.2">
      <c r="B135" s="3" t="s">
        <v>86</v>
      </c>
      <c r="D135" s="3"/>
    </row>
  </sheetData>
  <phoneticPr fontId="4" type="noConversion"/>
  <hyperlinks>
    <hyperlink ref="F80" r:id="rId1"/>
  </hyperlinks>
  <pageMargins left="0.75" right="0.75" top="1" bottom="1" header="0.5" footer="0.5"/>
  <pageSetup paperSize="9" orientation="portrait" r:id="rId2"/>
  <headerFooter alignWithMargins="0"/>
  <cellWatches>
    <cellWatch r="D129"/>
    <cellWatch r="D112"/>
    <cellWatch r="D16"/>
  </cellWatche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98"/>
  <sheetViews>
    <sheetView topLeftCell="A19" workbookViewId="0">
      <selection activeCell="G17" sqref="G17"/>
    </sheetView>
  </sheetViews>
  <sheetFormatPr defaultRowHeight="15" x14ac:dyDescent="0.25"/>
  <cols>
    <col min="1" max="1" width="31.28515625" style="17" bestFit="1" customWidth="1"/>
    <col min="2" max="2" width="21.28515625" style="17" customWidth="1"/>
    <col min="3" max="3" width="11.5703125" style="17" bestFit="1" customWidth="1"/>
    <col min="4" max="4" width="19.85546875" style="17" bestFit="1" customWidth="1"/>
    <col min="5" max="7" width="9.140625" style="17"/>
    <col min="8" max="8" width="9.140625" style="17" customWidth="1"/>
    <col min="9" max="9" width="9.140625" style="17"/>
    <col min="10" max="10" width="30.7109375" style="17" customWidth="1"/>
    <col min="11" max="11" width="9.28515625" style="17" bestFit="1" customWidth="1"/>
    <col min="12" max="12" width="11.5703125" style="17" bestFit="1" customWidth="1"/>
    <col min="13" max="14" width="12" style="17" bestFit="1" customWidth="1"/>
    <col min="15" max="15" width="11.5703125" style="17" bestFit="1" customWidth="1"/>
    <col min="16" max="16384" width="9.140625" style="17"/>
  </cols>
  <sheetData>
    <row r="1" spans="1:11" x14ac:dyDescent="0.25">
      <c r="A1" s="195" t="s">
        <v>127</v>
      </c>
      <c r="B1" s="195"/>
      <c r="C1" s="195"/>
      <c r="D1" s="195"/>
      <c r="E1" s="195"/>
      <c r="F1" s="195"/>
      <c r="G1" s="195"/>
    </row>
    <row r="2" spans="1:11" x14ac:dyDescent="0.25">
      <c r="A2" s="195"/>
      <c r="B2" s="195"/>
      <c r="C2" s="195"/>
      <c r="D2" s="195"/>
      <c r="E2" s="195"/>
      <c r="F2" s="195"/>
      <c r="G2" s="195"/>
    </row>
    <row r="3" spans="1:11" x14ac:dyDescent="0.25">
      <c r="A3" s="195"/>
      <c r="B3" s="195"/>
      <c r="C3" s="195"/>
      <c r="D3" s="195"/>
      <c r="E3" s="195"/>
      <c r="F3" s="195"/>
      <c r="G3" s="195"/>
    </row>
    <row r="4" spans="1:11" x14ac:dyDescent="0.25">
      <c r="A4" s="195"/>
      <c r="B4" s="195"/>
      <c r="C4" s="195"/>
      <c r="D4" s="195"/>
      <c r="E4" s="195"/>
      <c r="F4" s="195"/>
      <c r="G4" s="195"/>
    </row>
    <row r="5" spans="1:11" x14ac:dyDescent="0.25">
      <c r="A5" s="104"/>
      <c r="B5" s="104"/>
      <c r="C5" s="88"/>
      <c r="D5" s="88"/>
      <c r="E5" s="88"/>
      <c r="F5" s="88"/>
      <c r="G5" s="88"/>
    </row>
    <row r="6" spans="1:11" x14ac:dyDescent="0.25">
      <c r="A6" s="104"/>
      <c r="B6" s="104" t="s">
        <v>132</v>
      </c>
      <c r="C6" s="88"/>
      <c r="D6" s="88"/>
      <c r="E6" s="88"/>
      <c r="F6" s="88"/>
      <c r="G6" s="88"/>
    </row>
    <row r="7" spans="1:11" x14ac:dyDescent="0.25">
      <c r="A7" s="104" t="s">
        <v>126</v>
      </c>
      <c r="B7" s="104" t="s">
        <v>125</v>
      </c>
      <c r="C7" s="91" t="s">
        <v>124</v>
      </c>
      <c r="D7" s="88"/>
      <c r="E7" s="88"/>
      <c r="F7" s="88"/>
      <c r="G7" s="88"/>
      <c r="J7" s="138" t="s">
        <v>159</v>
      </c>
      <c r="K7" s="17">
        <f>SPB</f>
        <v>6.7314271586488061</v>
      </c>
    </row>
    <row r="8" spans="1:11" x14ac:dyDescent="0.25">
      <c r="A8" s="97" t="s">
        <v>43</v>
      </c>
      <c r="B8" s="110">
        <f>Crop_Yield</f>
        <v>50</v>
      </c>
      <c r="C8" s="97" t="s">
        <v>128</v>
      </c>
      <c r="D8" s="88"/>
      <c r="E8" s="88"/>
      <c r="F8" s="88"/>
      <c r="G8" s="88"/>
    </row>
    <row r="9" spans="1:11" x14ac:dyDescent="0.25">
      <c r="A9" s="97" t="s">
        <v>93</v>
      </c>
      <c r="B9" s="108">
        <f>Calcs!D63</f>
        <v>818719.76453352883</v>
      </c>
      <c r="C9" s="97" t="s">
        <v>27</v>
      </c>
      <c r="D9" s="88"/>
      <c r="E9" s="107" t="s">
        <v>120</v>
      </c>
      <c r="F9" s="88"/>
      <c r="G9" s="88"/>
    </row>
    <row r="10" spans="1:11" x14ac:dyDescent="0.25">
      <c r="A10" s="97" t="str">
        <f>Calcs!B23</f>
        <v>Cost of Energy Crop</v>
      </c>
      <c r="B10" s="109">
        <f>Crop_Price</f>
        <v>20</v>
      </c>
      <c r="C10" s="97" t="s">
        <v>123</v>
      </c>
      <c r="D10" s="88"/>
      <c r="E10" s="88"/>
      <c r="F10" s="88"/>
      <c r="G10" s="88"/>
    </row>
    <row r="11" spans="1:11" x14ac:dyDescent="0.25">
      <c r="A11" s="97" t="s">
        <v>90</v>
      </c>
      <c r="B11" s="108">
        <v>170.00336781142792</v>
      </c>
      <c r="C11" s="97" t="s">
        <v>121</v>
      </c>
      <c r="D11" s="88"/>
      <c r="E11" s="107" t="s">
        <v>120</v>
      </c>
      <c r="F11" s="88"/>
      <c r="G11" s="88"/>
    </row>
    <row r="12" spans="1:11" x14ac:dyDescent="0.25">
      <c r="A12" s="97" t="s">
        <v>122</v>
      </c>
      <c r="B12" s="122">
        <f>Elec_Price</f>
        <v>20</v>
      </c>
      <c r="C12" s="97" t="s">
        <v>84</v>
      </c>
      <c r="D12" s="88"/>
      <c r="E12" s="88"/>
      <c r="F12" s="88"/>
      <c r="G12" s="88"/>
    </row>
    <row r="13" spans="1:11" x14ac:dyDescent="0.25">
      <c r="A13" s="97" t="s">
        <v>92</v>
      </c>
      <c r="B13" s="108">
        <v>349.32198865361903</v>
      </c>
      <c r="C13" s="97" t="s">
        <v>121</v>
      </c>
      <c r="D13" s="88"/>
      <c r="E13" s="107" t="s">
        <v>120</v>
      </c>
      <c r="F13" s="88"/>
      <c r="G13" s="88"/>
    </row>
    <row r="14" spans="1:11" x14ac:dyDescent="0.25">
      <c r="A14" s="106" t="s">
        <v>164</v>
      </c>
      <c r="B14" s="122">
        <f>Heat_Price</f>
        <v>6</v>
      </c>
      <c r="C14" s="106" t="s">
        <v>84</v>
      </c>
      <c r="D14" s="88"/>
      <c r="E14" s="88"/>
      <c r="F14" s="88"/>
      <c r="G14" s="88"/>
    </row>
    <row r="15" spans="1:11" x14ac:dyDescent="0.25">
      <c r="A15" s="97" t="s">
        <v>95</v>
      </c>
      <c r="B15" s="105">
        <v>0.4</v>
      </c>
      <c r="C15" s="88"/>
      <c r="D15" s="88"/>
      <c r="E15" s="88"/>
      <c r="F15" s="88"/>
      <c r="G15" s="88"/>
    </row>
    <row r="16" spans="1:11" x14ac:dyDescent="0.25">
      <c r="A16" s="104"/>
      <c r="B16" s="104"/>
      <c r="C16" s="88"/>
      <c r="D16" s="88"/>
      <c r="E16" s="88"/>
      <c r="F16" s="88"/>
      <c r="G16" s="88"/>
    </row>
    <row r="17" spans="1:26" x14ac:dyDescent="0.25">
      <c r="A17" s="104"/>
      <c r="B17" s="104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</row>
    <row r="18" spans="1:26" x14ac:dyDescent="0.25">
      <c r="A18" s="104"/>
      <c r="B18" s="104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x14ac:dyDescent="0.25">
      <c r="A19" s="104"/>
      <c r="B19" s="104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</row>
    <row r="20" spans="1:26" x14ac:dyDescent="0.25">
      <c r="A20" s="104"/>
      <c r="B20" s="104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x14ac:dyDescent="0.25">
      <c r="A21" s="88"/>
      <c r="B21" s="103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</row>
    <row r="22" spans="1:26" ht="15.75" thickBot="1" x14ac:dyDescent="0.3">
      <c r="A22" s="102" t="s">
        <v>119</v>
      </c>
      <c r="B22" s="102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</row>
    <row r="23" spans="1:26" x14ac:dyDescent="0.25">
      <c r="A23" s="101" t="s">
        <v>118</v>
      </c>
      <c r="B23" s="100">
        <v>0.1</v>
      </c>
      <c r="C23" s="88"/>
      <c r="D23" s="99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5" spans="1:26" x14ac:dyDescent="0.25">
      <c r="A25" s="88"/>
      <c r="B25" s="91" t="s">
        <v>117</v>
      </c>
      <c r="C25" s="88"/>
      <c r="D25" s="98" t="s">
        <v>116</v>
      </c>
      <c r="E25" s="88"/>
      <c r="F25" s="88"/>
      <c r="G25" s="88"/>
      <c r="H25" s="88"/>
      <c r="I25" s="97" t="s">
        <v>115</v>
      </c>
      <c r="J25" s="88"/>
      <c r="K25" s="91" t="s">
        <v>114</v>
      </c>
      <c r="L25" s="88"/>
      <c r="M25" s="88"/>
      <c r="N25" s="88"/>
      <c r="O25" s="88"/>
      <c r="P25" s="88"/>
      <c r="Q25" s="88"/>
      <c r="R25" s="88"/>
      <c r="S25" s="91" t="s">
        <v>113</v>
      </c>
      <c r="T25" s="88"/>
      <c r="U25" s="88"/>
      <c r="V25" s="88"/>
      <c r="W25" s="88"/>
      <c r="X25" s="88"/>
      <c r="Y25" s="88"/>
      <c r="Z25" s="88"/>
    </row>
    <row r="26" spans="1:26" s="117" customFormat="1" ht="45" x14ac:dyDescent="0.25">
      <c r="A26" s="115" t="s">
        <v>112</v>
      </c>
      <c r="B26" s="115" t="str">
        <f>A8</f>
        <v>Crop Yield</v>
      </c>
      <c r="C26" s="115" t="str">
        <f>A9</f>
        <v>Digester CAPEX</v>
      </c>
      <c r="D26" s="115" t="str">
        <f>A10</f>
        <v>Cost of Energy Crop</v>
      </c>
      <c r="E26" s="115"/>
      <c r="F26" s="115" t="str">
        <f>A12</f>
        <v>Electricity Price</v>
      </c>
      <c r="G26" s="115" t="s">
        <v>164</v>
      </c>
      <c r="H26" s="115"/>
      <c r="I26" s="115"/>
      <c r="J26" s="115"/>
      <c r="K26" s="115" t="str">
        <f>B26</f>
        <v>Crop Yield</v>
      </c>
      <c r="L26" s="115" t="str">
        <f>C26</f>
        <v>Digester CAPEX</v>
      </c>
      <c r="M26" s="115" t="str">
        <f>D26</f>
        <v>Cost of Energy Crop</v>
      </c>
      <c r="N26" s="115"/>
      <c r="O26" s="115" t="str">
        <f>F26</f>
        <v>Electricity Price</v>
      </c>
      <c r="P26" s="115" t="s">
        <v>164</v>
      </c>
      <c r="Q26" s="115">
        <f>I26</f>
        <v>0</v>
      </c>
      <c r="R26" s="116"/>
      <c r="S26" s="115" t="str">
        <f>B26</f>
        <v>Crop Yield</v>
      </c>
      <c r="T26" s="115" t="str">
        <f>C26</f>
        <v>Digester CAPEX</v>
      </c>
      <c r="U26" s="115" t="str">
        <f>D26</f>
        <v>Cost of Energy Crop</v>
      </c>
      <c r="V26" s="115"/>
      <c r="W26" s="115" t="str">
        <f>F26</f>
        <v>Electricity Price</v>
      </c>
      <c r="X26" s="115"/>
      <c r="Y26" s="115"/>
      <c r="Z26" s="115"/>
    </row>
    <row r="27" spans="1:26" x14ac:dyDescent="0.25">
      <c r="A27" s="90">
        <f>(-$B$23/10)*10</f>
        <v>-0.1</v>
      </c>
      <c r="B27" s="62">
        <f t="shared" ref="B27:H36" si="0">B$37*(1+$A27)</f>
        <v>45</v>
      </c>
      <c r="C27" s="62">
        <f t="shared" si="0"/>
        <v>736847.78808017599</v>
      </c>
      <c r="D27" s="62">
        <f t="shared" si="0"/>
        <v>18</v>
      </c>
      <c r="E27" s="62"/>
      <c r="F27" s="62">
        <f t="shared" si="0"/>
        <v>18</v>
      </c>
      <c r="G27" s="62">
        <f t="shared" si="0"/>
        <v>314.38978978825713</v>
      </c>
      <c r="H27" s="62">
        <f t="shared" si="0"/>
        <v>5.4</v>
      </c>
      <c r="I27" s="62"/>
      <c r="J27" s="88"/>
      <c r="K27" s="54">
        <v>4.7722411164800418</v>
      </c>
      <c r="L27" s="54">
        <v>4.5213937561587434</v>
      </c>
      <c r="M27" s="54">
        <v>4.3402752746400379</v>
      </c>
      <c r="N27" s="54"/>
      <c r="O27" s="54">
        <v>4.5250868719896529</v>
      </c>
      <c r="P27" s="54">
        <v>4.5250868719896529</v>
      </c>
      <c r="Q27" s="54"/>
      <c r="R27" s="88"/>
      <c r="S27" s="89">
        <f>(K27-K$37)/K$37</f>
        <v>5.5480096149469554E-2</v>
      </c>
      <c r="T27" s="89">
        <f t="shared" ref="T27:W42" si="1">(L27-L$37)/L$37</f>
        <v>0</v>
      </c>
      <c r="U27" s="89">
        <f t="shared" si="1"/>
        <v>-4.0058108469760649E-2</v>
      </c>
      <c r="V27" s="89"/>
      <c r="W27" s="89">
        <f t="shared" si="1"/>
        <v>8.168091588747295E-4</v>
      </c>
      <c r="X27" s="89"/>
      <c r="Y27" s="89"/>
      <c r="Z27" s="89"/>
    </row>
    <row r="28" spans="1:26" x14ac:dyDescent="0.25">
      <c r="A28" s="90">
        <f>(-$B$23/10)*9</f>
        <v>-0.09</v>
      </c>
      <c r="B28" s="62">
        <f t="shared" si="0"/>
        <v>45.5</v>
      </c>
      <c r="C28" s="62">
        <f t="shared" si="0"/>
        <v>745034.98572551121</v>
      </c>
      <c r="D28" s="62">
        <f t="shared" si="0"/>
        <v>18.2</v>
      </c>
      <c r="E28" s="62"/>
      <c r="F28" s="62">
        <f t="shared" si="0"/>
        <v>18.2</v>
      </c>
      <c r="G28" s="62">
        <f t="shared" si="0"/>
        <v>317.88300967479336</v>
      </c>
      <c r="H28" s="62">
        <f t="shared" si="0"/>
        <v>5.46</v>
      </c>
      <c r="I28" s="62"/>
      <c r="J28" s="88"/>
      <c r="K28" s="54">
        <v>4.7462916773314472</v>
      </c>
      <c r="L28" s="54">
        <v>4.5213937561587434</v>
      </c>
      <c r="M28" s="54">
        <v>4.3577315228424496</v>
      </c>
      <c r="N28" s="54"/>
      <c r="O28" s="54">
        <v>4.5246807400479545</v>
      </c>
      <c r="P28" s="54">
        <v>4.5246807400479545</v>
      </c>
      <c r="Q28" s="54"/>
      <c r="R28" s="88"/>
      <c r="S28" s="89">
        <f t="shared" ref="S28:S47" si="2">(K28-K$37)/K$37</f>
        <v>4.9740839506924768E-2</v>
      </c>
      <c r="T28" s="89">
        <f t="shared" si="1"/>
        <v>0</v>
      </c>
      <c r="U28" s="89">
        <f t="shared" si="1"/>
        <v>-3.6197297148332627E-2</v>
      </c>
      <c r="V28" s="89"/>
      <c r="W28" s="89">
        <f t="shared" si="1"/>
        <v>7.2698465705045101E-4</v>
      </c>
      <c r="X28" s="89"/>
      <c r="Y28" s="89"/>
      <c r="Z28" s="89"/>
    </row>
    <row r="29" spans="1:26" x14ac:dyDescent="0.25">
      <c r="A29" s="90">
        <f>(-$B$23/10)*8</f>
        <v>-0.08</v>
      </c>
      <c r="B29" s="62">
        <f t="shared" si="0"/>
        <v>46</v>
      </c>
      <c r="C29" s="62">
        <f t="shared" si="0"/>
        <v>753222.18337084656</v>
      </c>
      <c r="D29" s="62">
        <f t="shared" si="0"/>
        <v>18.400000000000002</v>
      </c>
      <c r="E29" s="62"/>
      <c r="F29" s="62">
        <f t="shared" si="0"/>
        <v>18.400000000000002</v>
      </c>
      <c r="G29" s="62">
        <f t="shared" si="0"/>
        <v>321.37622956132952</v>
      </c>
      <c r="H29" s="62">
        <f t="shared" si="0"/>
        <v>5.5200000000000005</v>
      </c>
      <c r="I29" s="62"/>
      <c r="J29" s="88"/>
      <c r="K29" s="54">
        <v>4.7205403039378551</v>
      </c>
      <c r="L29" s="54">
        <v>4.5213937561587434</v>
      </c>
      <c r="M29" s="54">
        <v>4.3753287533989411</v>
      </c>
      <c r="N29" s="54"/>
      <c r="O29" s="54">
        <v>4.5242835075969685</v>
      </c>
      <c r="P29" s="54">
        <v>4.5242835075969685</v>
      </c>
      <c r="Q29" s="54"/>
      <c r="R29" s="88"/>
      <c r="S29" s="89">
        <f t="shared" si="2"/>
        <v>4.4045389213856333E-2</v>
      </c>
      <c r="T29" s="89">
        <f t="shared" si="1"/>
        <v>0</v>
      </c>
      <c r="U29" s="89">
        <f t="shared" si="1"/>
        <v>-3.2305304655415645E-2</v>
      </c>
      <c r="V29" s="89"/>
      <c r="W29" s="89">
        <f t="shared" si="1"/>
        <v>6.3912846216697904E-4</v>
      </c>
      <c r="X29" s="89"/>
      <c r="Y29" s="89"/>
      <c r="Z29" s="89"/>
    </row>
    <row r="30" spans="1:26" x14ac:dyDescent="0.25">
      <c r="A30" s="90">
        <f>(-$B$23/10)*7</f>
        <v>-7.0000000000000007E-2</v>
      </c>
      <c r="B30" s="62">
        <f t="shared" si="0"/>
        <v>46.5</v>
      </c>
      <c r="C30" s="62">
        <f t="shared" si="0"/>
        <v>761409.38101618178</v>
      </c>
      <c r="D30" s="62">
        <f t="shared" si="0"/>
        <v>18.599999999999998</v>
      </c>
      <c r="E30" s="62"/>
      <c r="F30" s="62">
        <f t="shared" si="0"/>
        <v>18.599999999999998</v>
      </c>
      <c r="G30" s="62">
        <f t="shared" si="0"/>
        <v>324.86944944786569</v>
      </c>
      <c r="H30" s="62">
        <f t="shared" si="0"/>
        <v>5.58</v>
      </c>
      <c r="I30" s="62"/>
      <c r="J30" s="88"/>
      <c r="K30" s="54">
        <v>4.6949847527039328</v>
      </c>
      <c r="L30" s="54">
        <v>4.5213937561587434</v>
      </c>
      <c r="M30" s="54">
        <v>4.3930686811635855</v>
      </c>
      <c r="N30" s="54"/>
      <c r="O30" s="54">
        <v>4.5238948852876888</v>
      </c>
      <c r="P30" s="54">
        <v>4.5238948852876888</v>
      </c>
      <c r="Q30" s="54"/>
      <c r="R30" s="88"/>
      <c r="S30" s="89">
        <f t="shared" si="2"/>
        <v>3.8393249052625693E-2</v>
      </c>
      <c r="T30" s="89">
        <f t="shared" si="1"/>
        <v>0</v>
      </c>
      <c r="U30" s="89">
        <f t="shared" si="1"/>
        <v>-2.8381751715466488E-2</v>
      </c>
      <c r="V30" s="89"/>
      <c r="W30" s="89">
        <f t="shared" si="1"/>
        <v>5.5317657869070305E-4</v>
      </c>
      <c r="X30" s="89"/>
      <c r="Y30" s="89"/>
      <c r="Z30" s="89"/>
    </row>
    <row r="31" spans="1:26" x14ac:dyDescent="0.25">
      <c r="A31" s="90">
        <f>(-$B$23/10)*6</f>
        <v>-0.06</v>
      </c>
      <c r="B31" s="62">
        <f t="shared" si="0"/>
        <v>47</v>
      </c>
      <c r="C31" s="62">
        <f t="shared" si="0"/>
        <v>769596.57866151701</v>
      </c>
      <c r="D31" s="62">
        <f t="shared" si="0"/>
        <v>18.799999999999997</v>
      </c>
      <c r="E31" s="62"/>
      <c r="F31" s="62">
        <f t="shared" si="0"/>
        <v>18.799999999999997</v>
      </c>
      <c r="G31" s="62">
        <f t="shared" si="0"/>
        <v>328.36266933440186</v>
      </c>
      <c r="H31" s="62">
        <f t="shared" si="0"/>
        <v>5.64</v>
      </c>
      <c r="I31" s="62"/>
      <c r="J31" s="88"/>
      <c r="K31" s="54">
        <v>4.6696227942937307</v>
      </c>
      <c r="L31" s="54">
        <v>4.5213937561587434</v>
      </c>
      <c r="M31" s="54">
        <v>4.4109530489154274</v>
      </c>
      <c r="N31" s="54"/>
      <c r="O31" s="54">
        <v>4.5235145961800933</v>
      </c>
      <c r="P31" s="54">
        <v>4.5235145961800933</v>
      </c>
      <c r="Q31" s="54"/>
      <c r="R31" s="88"/>
      <c r="S31" s="89">
        <f t="shared" si="2"/>
        <v>3.2783925959352589E-2</v>
      </c>
      <c r="T31" s="89">
        <f t="shared" si="1"/>
        <v>0</v>
      </c>
      <c r="U31" s="89">
        <f t="shared" si="1"/>
        <v>-2.442625287675531E-2</v>
      </c>
      <c r="V31" s="89"/>
      <c r="W31" s="89">
        <f t="shared" si="1"/>
        <v>4.6906775559219248E-4</v>
      </c>
      <c r="X31" s="89"/>
      <c r="Y31" s="89"/>
      <c r="Z31" s="89"/>
    </row>
    <row r="32" spans="1:26" x14ac:dyDescent="0.25">
      <c r="A32" s="90">
        <f>(-$B$23/10)*5</f>
        <v>-0.05</v>
      </c>
      <c r="B32" s="62">
        <f t="shared" si="0"/>
        <v>47.5</v>
      </c>
      <c r="C32" s="62">
        <f t="shared" si="0"/>
        <v>777783.77630685235</v>
      </c>
      <c r="D32" s="62">
        <f t="shared" si="0"/>
        <v>19</v>
      </c>
      <c r="E32" s="62"/>
      <c r="F32" s="62">
        <f t="shared" si="0"/>
        <v>19</v>
      </c>
      <c r="G32" s="62">
        <f t="shared" si="0"/>
        <v>331.85588922093808</v>
      </c>
      <c r="H32" s="62">
        <f t="shared" si="0"/>
        <v>5.6999999999999993</v>
      </c>
      <c r="I32" s="62"/>
      <c r="J32" s="88"/>
      <c r="K32" s="54">
        <v>4.6444522149729668</v>
      </c>
      <c r="L32" s="54">
        <v>4.5213937561587434</v>
      </c>
      <c r="M32" s="54">
        <v>4.4289836279292292</v>
      </c>
      <c r="N32" s="54"/>
      <c r="O32" s="54">
        <v>4.5231423750849871</v>
      </c>
      <c r="P32" s="54">
        <v>4.5231423750849871</v>
      </c>
      <c r="Q32" s="54"/>
      <c r="R32" s="88"/>
      <c r="S32" s="89">
        <f t="shared" si="2"/>
        <v>2.7216930320789093E-2</v>
      </c>
      <c r="T32" s="89">
        <f t="shared" si="1"/>
        <v>0</v>
      </c>
      <c r="U32" s="89">
        <f t="shared" si="1"/>
        <v>-2.0438416385133291E-2</v>
      </c>
      <c r="V32" s="89"/>
      <c r="W32" s="89">
        <f t="shared" si="1"/>
        <v>3.8674334078110748E-4</v>
      </c>
      <c r="X32" s="89"/>
      <c r="Y32" s="89"/>
      <c r="Z32" s="89"/>
    </row>
    <row r="33" spans="1:26" x14ac:dyDescent="0.25">
      <c r="A33" s="90">
        <f>(-$B$23/10)*4</f>
        <v>-0.04</v>
      </c>
      <c r="B33" s="62">
        <f t="shared" si="0"/>
        <v>48</v>
      </c>
      <c r="C33" s="62">
        <f t="shared" si="0"/>
        <v>785970.97395218769</v>
      </c>
      <c r="D33" s="62">
        <f t="shared" si="0"/>
        <v>19.2</v>
      </c>
      <c r="E33" s="62"/>
      <c r="F33" s="62">
        <f t="shared" si="0"/>
        <v>19.2</v>
      </c>
      <c r="G33" s="62">
        <f t="shared" si="0"/>
        <v>335.34910910747425</v>
      </c>
      <c r="H33" s="62">
        <f t="shared" si="0"/>
        <v>5.76</v>
      </c>
      <c r="I33" s="62"/>
      <c r="J33" s="88"/>
      <c r="K33" s="54">
        <v>4.619470817806004</v>
      </c>
      <c r="L33" s="54">
        <v>4.5213937561587434</v>
      </c>
      <c r="M33" s="54">
        <v>4.4471622185602628</v>
      </c>
      <c r="N33" s="54"/>
      <c r="O33" s="54">
        <v>4.5227779679472935</v>
      </c>
      <c r="P33" s="54">
        <v>4.5227779679472935</v>
      </c>
      <c r="Q33" s="54"/>
      <c r="R33" s="88"/>
      <c r="S33" s="89">
        <f t="shared" si="2"/>
        <v>2.1691776239056045E-2</v>
      </c>
      <c r="T33" s="89">
        <f t="shared" si="1"/>
        <v>0</v>
      </c>
      <c r="U33" s="89">
        <f t="shared" si="1"/>
        <v>-1.6417844054693813E-2</v>
      </c>
      <c r="V33" s="89"/>
      <c r="W33" s="89">
        <f t="shared" si="1"/>
        <v>3.0614714470833266E-4</v>
      </c>
      <c r="X33" s="89"/>
      <c r="Y33" s="89"/>
      <c r="Z33" s="89"/>
    </row>
    <row r="34" spans="1:26" x14ac:dyDescent="0.25">
      <c r="A34" s="90">
        <f>(-$B$23/10)*3</f>
        <v>-0.03</v>
      </c>
      <c r="B34" s="62">
        <f t="shared" si="0"/>
        <v>48.5</v>
      </c>
      <c r="C34" s="62">
        <f t="shared" si="0"/>
        <v>794158.17159752292</v>
      </c>
      <c r="D34" s="62">
        <f t="shared" si="0"/>
        <v>19.399999999999999</v>
      </c>
      <c r="E34" s="62"/>
      <c r="F34" s="62">
        <f t="shared" si="0"/>
        <v>19.399999999999999</v>
      </c>
      <c r="G34" s="62">
        <f t="shared" si="0"/>
        <v>338.84232899401047</v>
      </c>
      <c r="H34" s="62">
        <f t="shared" si="0"/>
        <v>5.82</v>
      </c>
      <c r="I34" s="62"/>
      <c r="J34" s="88"/>
      <c r="K34" s="54">
        <v>4.5946764237197062</v>
      </c>
      <c r="L34" s="54">
        <v>4.5213937561587434</v>
      </c>
      <c r="M34" s="54">
        <v>4.4654906508435737</v>
      </c>
      <c r="N34" s="54"/>
      <c r="O34" s="54">
        <v>4.5224211312677802</v>
      </c>
      <c r="P34" s="54">
        <v>4.5224211312677802</v>
      </c>
      <c r="Q34" s="54"/>
      <c r="R34" s="88"/>
      <c r="S34" s="89">
        <f t="shared" si="2"/>
        <v>1.6207981766936799E-2</v>
      </c>
      <c r="T34" s="89">
        <f t="shared" si="1"/>
        <v>0</v>
      </c>
      <c r="U34" s="89">
        <f t="shared" si="1"/>
        <v>-1.2364131135232851E-2</v>
      </c>
      <c r="V34" s="89"/>
      <c r="W34" s="89">
        <f t="shared" si="1"/>
        <v>2.2722531246861872E-4</v>
      </c>
      <c r="X34" s="89"/>
      <c r="Y34" s="89"/>
      <c r="Z34" s="89"/>
    </row>
    <row r="35" spans="1:26" x14ac:dyDescent="0.25">
      <c r="A35" s="90">
        <f>(-$B$23/10)*2</f>
        <v>-0.02</v>
      </c>
      <c r="B35" s="62">
        <f t="shared" si="0"/>
        <v>49</v>
      </c>
      <c r="C35" s="62">
        <f t="shared" si="0"/>
        <v>802345.36924285826</v>
      </c>
      <c r="D35" s="62">
        <f t="shared" si="0"/>
        <v>19.600000000000001</v>
      </c>
      <c r="E35" s="62"/>
      <c r="F35" s="62">
        <f t="shared" si="0"/>
        <v>19.600000000000001</v>
      </c>
      <c r="G35" s="62">
        <f t="shared" si="0"/>
        <v>342.33554888054664</v>
      </c>
      <c r="H35" s="62">
        <f t="shared" si="0"/>
        <v>5.88</v>
      </c>
      <c r="I35" s="62"/>
      <c r="J35" s="88"/>
      <c r="K35" s="54">
        <v>4.570066872445337</v>
      </c>
      <c r="L35" s="54">
        <v>4.5213937561587434</v>
      </c>
      <c r="M35" s="54">
        <v>4.4839707851081165</v>
      </c>
      <c r="N35" s="54"/>
      <c r="O35" s="54">
        <v>4.5220716315604719</v>
      </c>
      <c r="P35" s="54">
        <v>4.5220716315604719</v>
      </c>
      <c r="Q35" s="54"/>
      <c r="R35" s="88"/>
      <c r="S35" s="89">
        <f t="shared" si="2"/>
        <v>1.0765069116197712E-2</v>
      </c>
      <c r="T35" s="89">
        <f t="shared" si="1"/>
        <v>0</v>
      </c>
      <c r="U35" s="89">
        <f t="shared" si="1"/>
        <v>-8.2768661764199957E-3</v>
      </c>
      <c r="V35" s="89"/>
      <c r="W35" s="89">
        <f t="shared" si="1"/>
        <v>1.499262037961461E-4</v>
      </c>
      <c r="X35" s="89"/>
      <c r="Y35" s="89"/>
      <c r="Z35" s="89"/>
    </row>
    <row r="36" spans="1:26" x14ac:dyDescent="0.25">
      <c r="A36" s="90">
        <f>(-$B$23/10)*1</f>
        <v>-0.01</v>
      </c>
      <c r="B36" s="62">
        <f t="shared" si="0"/>
        <v>49.5</v>
      </c>
      <c r="C36" s="62">
        <f t="shared" si="0"/>
        <v>810532.56688819348</v>
      </c>
      <c r="D36" s="62">
        <f t="shared" si="0"/>
        <v>19.8</v>
      </c>
      <c r="E36" s="62"/>
      <c r="F36" s="62">
        <f t="shared" si="0"/>
        <v>19.8</v>
      </c>
      <c r="G36" s="62">
        <f t="shared" si="0"/>
        <v>345.82876876708286</v>
      </c>
      <c r="H36" s="62">
        <f t="shared" si="0"/>
        <v>5.9399999999999995</v>
      </c>
      <c r="I36" s="62"/>
      <c r="J36" s="88"/>
      <c r="K36" s="54">
        <v>4.5456400233488239</v>
      </c>
      <c r="L36" s="54">
        <v>4.5213937561587434</v>
      </c>
      <c r="M36" s="54">
        <v>4.5026045126062098</v>
      </c>
      <c r="N36" s="54"/>
      <c r="O36" s="54">
        <v>4.5217292448431614</v>
      </c>
      <c r="P36" s="54">
        <v>4.5217292448431614</v>
      </c>
      <c r="Q36" s="54"/>
      <c r="R36" s="88"/>
      <c r="S36" s="89">
        <f t="shared" si="2"/>
        <v>5.3625648412182272E-3</v>
      </c>
      <c r="T36" s="89">
        <f t="shared" si="1"/>
        <v>0</v>
      </c>
      <c r="U36" s="89">
        <f t="shared" si="1"/>
        <v>-4.1556308885816852E-3</v>
      </c>
      <c r="V36" s="89"/>
      <c r="W36" s="89">
        <f t="shared" si="1"/>
        <v>7.4200280380587658E-5</v>
      </c>
      <c r="X36" s="89"/>
      <c r="Y36" s="89"/>
      <c r="Z36" s="89"/>
    </row>
    <row r="37" spans="1:26" x14ac:dyDescent="0.25">
      <c r="A37" s="90">
        <f>(-$B$23/10)*0</f>
        <v>0</v>
      </c>
      <c r="B37" s="62">
        <f>B8</f>
        <v>50</v>
      </c>
      <c r="C37" s="96">
        <f>B9</f>
        <v>818719.76453352883</v>
      </c>
      <c r="D37" s="130">
        <f>B10</f>
        <v>20</v>
      </c>
      <c r="E37" s="95"/>
      <c r="F37" s="95">
        <f>B12</f>
        <v>20</v>
      </c>
      <c r="G37" s="95">
        <f>B13</f>
        <v>349.32198865361903</v>
      </c>
      <c r="H37" s="95">
        <f>B14</f>
        <v>6</v>
      </c>
      <c r="I37" s="94"/>
      <c r="J37" s="93"/>
      <c r="K37" s="92">
        <v>4.5213937561587434</v>
      </c>
      <c r="L37" s="92">
        <v>4.5213937561587434</v>
      </c>
      <c r="M37" s="92">
        <v>4.5213937561587434</v>
      </c>
      <c r="N37" s="92"/>
      <c r="O37" s="92">
        <v>4.5213937561587434</v>
      </c>
      <c r="P37" s="92">
        <v>4.5213937561587434</v>
      </c>
      <c r="Q37" s="92"/>
      <c r="R37" s="91"/>
      <c r="S37" s="89">
        <f t="shared" si="2"/>
        <v>0</v>
      </c>
      <c r="T37" s="89">
        <f t="shared" si="1"/>
        <v>0</v>
      </c>
      <c r="U37" s="89">
        <f t="shared" si="1"/>
        <v>0</v>
      </c>
      <c r="V37" s="89"/>
      <c r="W37" s="89">
        <f t="shared" si="1"/>
        <v>0</v>
      </c>
      <c r="X37" s="89"/>
      <c r="Y37" s="89"/>
      <c r="Z37" s="89"/>
    </row>
    <row r="38" spans="1:26" x14ac:dyDescent="0.25">
      <c r="A38" s="90">
        <f>($B$23/10)*1</f>
        <v>0.01</v>
      </c>
      <c r="B38" s="62">
        <f t="shared" ref="B38:H47" si="3">B$37*(1+$A38)</f>
        <v>50.5</v>
      </c>
      <c r="C38" s="62">
        <f t="shared" si="3"/>
        <v>826906.96217886417</v>
      </c>
      <c r="D38" s="62">
        <f t="shared" si="3"/>
        <v>20.2</v>
      </c>
      <c r="E38" s="62"/>
      <c r="F38" s="62">
        <f t="shared" si="3"/>
        <v>20.2</v>
      </c>
      <c r="G38" s="62">
        <f t="shared" si="3"/>
        <v>352.8152085401552</v>
      </c>
      <c r="H38" s="62">
        <f t="shared" si="3"/>
        <v>6.0600000000000005</v>
      </c>
      <c r="I38" s="62"/>
      <c r="J38" s="88"/>
      <c r="K38" s="54">
        <v>7.5017947202253614</v>
      </c>
      <c r="L38" s="54">
        <v>4.5213937561587434</v>
      </c>
      <c r="M38" s="54">
        <v>4.5403404708166155</v>
      </c>
      <c r="N38" s="54"/>
      <c r="O38" s="54">
        <v>4.5210649591251677</v>
      </c>
      <c r="P38" s="54">
        <v>4.5210649591251677</v>
      </c>
      <c r="Q38" s="54"/>
      <c r="R38" s="88"/>
      <c r="S38" s="89">
        <f t="shared" si="2"/>
        <v>0.6591774848202312</v>
      </c>
      <c r="T38" s="89">
        <f t="shared" si="1"/>
        <v>0</v>
      </c>
      <c r="U38" s="89">
        <f t="shared" si="1"/>
        <v>4.190458889377675E-3</v>
      </c>
      <c r="V38" s="89"/>
      <c r="W38" s="89">
        <f t="shared" si="1"/>
        <v>-7.2720283016232325E-5</v>
      </c>
      <c r="X38" s="89"/>
      <c r="Y38" s="89"/>
      <c r="Z38" s="89"/>
    </row>
    <row r="39" spans="1:26" x14ac:dyDescent="0.25">
      <c r="A39" s="90">
        <f>($B$23/10)*2</f>
        <v>0.02</v>
      </c>
      <c r="B39" s="62">
        <f t="shared" si="3"/>
        <v>51</v>
      </c>
      <c r="C39" s="62">
        <f t="shared" si="3"/>
        <v>835094.15982419939</v>
      </c>
      <c r="D39" s="62">
        <f t="shared" si="3"/>
        <v>20.399999999999999</v>
      </c>
      <c r="E39" s="62"/>
      <c r="F39" s="62">
        <f t="shared" si="3"/>
        <v>20.399999999999999</v>
      </c>
      <c r="G39" s="62">
        <f t="shared" si="3"/>
        <v>356.30842842669142</v>
      </c>
      <c r="H39" s="62">
        <f t="shared" si="3"/>
        <v>6.12</v>
      </c>
      <c r="I39" s="62"/>
      <c r="J39" s="88"/>
      <c r="K39" s="54">
        <v>7.4625685303405263</v>
      </c>
      <c r="L39" s="54">
        <v>4.5213937561587434</v>
      </c>
      <c r="M39" s="54">
        <v>4.5594466445388671</v>
      </c>
      <c r="N39" s="54"/>
      <c r="O39" s="54">
        <v>4.5207426555120778</v>
      </c>
      <c r="P39" s="54">
        <v>4.5207426555120778</v>
      </c>
      <c r="Q39" s="54"/>
      <c r="R39" s="88"/>
      <c r="S39" s="89">
        <f t="shared" si="2"/>
        <v>0.65050179940101638</v>
      </c>
      <c r="T39" s="89">
        <f t="shared" si="1"/>
        <v>0</v>
      </c>
      <c r="U39" s="89">
        <f t="shared" si="1"/>
        <v>8.4161854579222466E-3</v>
      </c>
      <c r="V39" s="89"/>
      <c r="W39" s="89">
        <f t="shared" si="1"/>
        <v>-1.4400441142263694E-4</v>
      </c>
      <c r="X39" s="89"/>
      <c r="Y39" s="89"/>
      <c r="Z39" s="89"/>
    </row>
    <row r="40" spans="1:26" x14ac:dyDescent="0.25">
      <c r="A40" s="90">
        <f>($B$23/10)*3</f>
        <v>0.03</v>
      </c>
      <c r="B40" s="62">
        <f t="shared" si="3"/>
        <v>51.5</v>
      </c>
      <c r="C40" s="62">
        <f t="shared" si="3"/>
        <v>843281.35746953473</v>
      </c>
      <c r="D40" s="62">
        <f t="shared" si="3"/>
        <v>20.6</v>
      </c>
      <c r="E40" s="62"/>
      <c r="F40" s="62">
        <f t="shared" si="3"/>
        <v>20.6</v>
      </c>
      <c r="G40" s="62">
        <f t="shared" si="3"/>
        <v>359.80164831322759</v>
      </c>
      <c r="H40" s="62">
        <f t="shared" si="3"/>
        <v>6.18</v>
      </c>
      <c r="I40" s="62"/>
      <c r="J40" s="88"/>
      <c r="K40" s="54">
        <v>7.4235933752842209</v>
      </c>
      <c r="L40" s="54">
        <v>4.5213937561587434</v>
      </c>
      <c r="M40" s="54">
        <v>4.5787142988880074</v>
      </c>
      <c r="N40" s="54"/>
      <c r="O40" s="54">
        <v>4.5204266548422671</v>
      </c>
      <c r="P40" s="54">
        <v>4.5204266548422671</v>
      </c>
      <c r="Q40" s="54"/>
      <c r="R40" s="88"/>
      <c r="S40" s="89">
        <f t="shared" si="2"/>
        <v>0.64188163554043332</v>
      </c>
      <c r="T40" s="89">
        <f t="shared" si="1"/>
        <v>0</v>
      </c>
      <c r="U40" s="89">
        <f t="shared" si="1"/>
        <v>1.2677626816108586E-2</v>
      </c>
      <c r="V40" s="89"/>
      <c r="W40" s="89">
        <f t="shared" si="1"/>
        <v>-2.1389451320379661E-4</v>
      </c>
      <c r="X40" s="89"/>
      <c r="Y40" s="89"/>
      <c r="Z40" s="89"/>
    </row>
    <row r="41" spans="1:26" x14ac:dyDescent="0.25">
      <c r="A41" s="90">
        <f>($B$23/10)*4</f>
        <v>0.04</v>
      </c>
      <c r="B41" s="62">
        <f t="shared" si="3"/>
        <v>52</v>
      </c>
      <c r="C41" s="62">
        <f t="shared" si="3"/>
        <v>851468.55511486996</v>
      </c>
      <c r="D41" s="62">
        <f t="shared" si="3"/>
        <v>20.8</v>
      </c>
      <c r="E41" s="62"/>
      <c r="F41" s="62">
        <f t="shared" si="3"/>
        <v>20.8</v>
      </c>
      <c r="G41" s="62">
        <f t="shared" si="3"/>
        <v>363.29486819976381</v>
      </c>
      <c r="H41" s="62">
        <f t="shared" si="3"/>
        <v>6.24</v>
      </c>
      <c r="I41" s="62"/>
      <c r="J41" s="88"/>
      <c r="K41" s="54">
        <v>7.3848675391237135</v>
      </c>
      <c r="L41" s="54">
        <v>4.5213937561587434</v>
      </c>
      <c r="M41" s="54">
        <v>4.5981454897430529</v>
      </c>
      <c r="N41" s="54"/>
      <c r="O41" s="54">
        <v>4.520116774016306</v>
      </c>
      <c r="P41" s="54">
        <v>4.520116774016306</v>
      </c>
      <c r="Q41" s="54"/>
      <c r="R41" s="88"/>
      <c r="S41" s="89">
        <f t="shared" si="2"/>
        <v>0.63331661372437109</v>
      </c>
      <c r="T41" s="89">
        <f t="shared" si="1"/>
        <v>0</v>
      </c>
      <c r="U41" s="89">
        <f t="shared" si="1"/>
        <v>1.6975237664218781E-2</v>
      </c>
      <c r="V41" s="89"/>
      <c r="W41" s="89">
        <f t="shared" si="1"/>
        <v>-2.8243108459598596E-4</v>
      </c>
      <c r="X41" s="89"/>
      <c r="Y41" s="89"/>
      <c r="Z41" s="89"/>
    </row>
    <row r="42" spans="1:26" x14ac:dyDescent="0.25">
      <c r="A42" s="90">
        <f>($B$23/10)*5</f>
        <v>0.05</v>
      </c>
      <c r="B42" s="62">
        <f t="shared" si="3"/>
        <v>52.5</v>
      </c>
      <c r="C42" s="62">
        <f t="shared" si="3"/>
        <v>859655.7527602053</v>
      </c>
      <c r="D42" s="62">
        <f t="shared" si="3"/>
        <v>21</v>
      </c>
      <c r="E42" s="62"/>
      <c r="F42" s="62">
        <f t="shared" si="3"/>
        <v>21</v>
      </c>
      <c r="G42" s="62">
        <f t="shared" si="3"/>
        <v>366.78808808629998</v>
      </c>
      <c r="H42" s="62">
        <f t="shared" si="3"/>
        <v>6.3000000000000007</v>
      </c>
      <c r="I42" s="62"/>
      <c r="J42" s="88"/>
      <c r="K42" s="54">
        <v>7.3463892731577483</v>
      </c>
      <c r="L42" s="54">
        <v>4.5213937561587434</v>
      </c>
      <c r="M42" s="54">
        <v>4.6177423080307882</v>
      </c>
      <c r="N42" s="54"/>
      <c r="O42" s="54">
        <v>4.5198128369587547</v>
      </c>
      <c r="P42" s="54">
        <v>4.5198128369587547</v>
      </c>
      <c r="Q42" s="54"/>
      <c r="R42" s="88"/>
      <c r="S42" s="89">
        <f t="shared" si="2"/>
        <v>0.62480634719127992</v>
      </c>
      <c r="T42" s="89">
        <f t="shared" si="1"/>
        <v>0</v>
      </c>
      <c r="U42" s="89">
        <f t="shared" si="1"/>
        <v>2.1309480454075738E-2</v>
      </c>
      <c r="V42" s="89"/>
      <c r="W42" s="89">
        <f t="shared" si="1"/>
        <v>-3.4965306833435657E-4</v>
      </c>
      <c r="X42" s="89"/>
      <c r="Y42" s="89"/>
      <c r="Z42" s="89"/>
    </row>
    <row r="43" spans="1:26" x14ac:dyDescent="0.25">
      <c r="A43" s="90">
        <f>($B$23/10)*6</f>
        <v>0.06</v>
      </c>
      <c r="B43" s="62">
        <f t="shared" si="3"/>
        <v>53</v>
      </c>
      <c r="C43" s="62">
        <f t="shared" si="3"/>
        <v>867842.95040554064</v>
      </c>
      <c r="D43" s="62">
        <f t="shared" si="3"/>
        <v>21.200000000000003</v>
      </c>
      <c r="E43" s="62"/>
      <c r="F43" s="62">
        <f t="shared" si="3"/>
        <v>21.200000000000003</v>
      </c>
      <c r="G43" s="62">
        <f t="shared" si="3"/>
        <v>370.2813079728362</v>
      </c>
      <c r="H43" s="62">
        <f t="shared" si="3"/>
        <v>6.36</v>
      </c>
      <c r="I43" s="62"/>
      <c r="J43" s="88"/>
      <c r="K43" s="54">
        <v>7.3081567996261203</v>
      </c>
      <c r="L43" s="54">
        <v>4.5213937561587434</v>
      </c>
      <c r="M43" s="54">
        <v>4.6375068804758159</v>
      </c>
      <c r="N43" s="54"/>
      <c r="O43" s="54">
        <v>4.5195146742845589</v>
      </c>
      <c r="P43" s="54">
        <v>4.5195146742845589</v>
      </c>
      <c r="Q43" s="54"/>
      <c r="R43" s="88"/>
      <c r="S43" s="89">
        <f t="shared" si="2"/>
        <v>0.61635044275262085</v>
      </c>
      <c r="T43" s="89">
        <f t="shared" ref="T43:T47" si="4">(L43-L$37)/L$37</f>
        <v>0</v>
      </c>
      <c r="U43" s="89">
        <f t="shared" ref="U43:U47" si="5">(M43-M$37)/M$37</f>
        <v>2.5680825554932243E-2</v>
      </c>
      <c r="V43" s="89"/>
      <c r="W43" s="89">
        <f t="shared" ref="W43:W47" si="6">(O43-O$37)/O$37</f>
        <v>-4.1559792743663305E-4</v>
      </c>
      <c r="X43" s="89"/>
      <c r="Y43" s="89"/>
      <c r="Z43" s="89"/>
    </row>
    <row r="44" spans="1:26" x14ac:dyDescent="0.25">
      <c r="A44" s="90">
        <f>($B$23/10)*7</f>
        <v>7.0000000000000007E-2</v>
      </c>
      <c r="B44" s="62">
        <f t="shared" si="3"/>
        <v>53.5</v>
      </c>
      <c r="C44" s="62">
        <f t="shared" si="3"/>
        <v>876030.14805087587</v>
      </c>
      <c r="D44" s="62">
        <f t="shared" si="3"/>
        <v>21.400000000000002</v>
      </c>
      <c r="E44" s="62"/>
      <c r="F44" s="62">
        <f t="shared" si="3"/>
        <v>21.400000000000002</v>
      </c>
      <c r="G44" s="62">
        <f t="shared" si="3"/>
        <v>373.77452785937237</v>
      </c>
      <c r="H44" s="62">
        <f t="shared" si="3"/>
        <v>6.42</v>
      </c>
      <c r="I44" s="62"/>
      <c r="J44" s="88"/>
      <c r="K44" s="54">
        <v>7.2701683151630316</v>
      </c>
      <c r="L44" s="54">
        <v>4.5213937561587434</v>
      </c>
      <c r="M44" s="54">
        <v>4.6574413703699493</v>
      </c>
      <c r="N44" s="54"/>
      <c r="O44" s="54">
        <v>4.5192221229842566</v>
      </c>
      <c r="P44" s="54">
        <v>4.5192221229842566</v>
      </c>
      <c r="Q44" s="54"/>
      <c r="R44" s="88"/>
      <c r="S44" s="89">
        <f t="shared" si="2"/>
        <v>0.60794850155664704</v>
      </c>
      <c r="T44" s="89">
        <f t="shared" si="4"/>
        <v>0</v>
      </c>
      <c r="U44" s="89">
        <f t="shared" si="5"/>
        <v>3.0089751423638091E-2</v>
      </c>
      <c r="V44" s="89"/>
      <c r="W44" s="89">
        <f t="shared" si="6"/>
        <v>-4.8030171482603336E-4</v>
      </c>
      <c r="X44" s="89"/>
      <c r="Y44" s="89"/>
      <c r="Z44" s="89"/>
    </row>
    <row r="45" spans="1:26" x14ac:dyDescent="0.25">
      <c r="A45" s="90">
        <f>($B$23/10)*8</f>
        <v>0.08</v>
      </c>
      <c r="B45" s="62">
        <f t="shared" si="3"/>
        <v>54</v>
      </c>
      <c r="C45" s="62">
        <f t="shared" si="3"/>
        <v>884217.34569621121</v>
      </c>
      <c r="D45" s="62">
        <f t="shared" si="3"/>
        <v>21.6</v>
      </c>
      <c r="E45" s="62"/>
      <c r="F45" s="62">
        <f t="shared" si="3"/>
        <v>21.6</v>
      </c>
      <c r="G45" s="62">
        <f t="shared" si="3"/>
        <v>377.26774774590859</v>
      </c>
      <c r="H45" s="62">
        <f t="shared" si="3"/>
        <v>6.48</v>
      </c>
      <c r="I45" s="62"/>
      <c r="J45" s="88"/>
      <c r="K45" s="54">
        <v>7.2324219940112924</v>
      </c>
      <c r="L45" s="54">
        <v>4.5213937561587434</v>
      </c>
      <c r="M45" s="54">
        <v>4.6775479783615257</v>
      </c>
      <c r="N45" s="54"/>
      <c r="O45" s="54">
        <v>4.518935026126818</v>
      </c>
      <c r="P45" s="54">
        <v>4.518935026126818</v>
      </c>
      <c r="Q45" s="54"/>
      <c r="R45" s="88"/>
      <c r="S45" s="89">
        <f t="shared" si="2"/>
        <v>0.59960011979929106</v>
      </c>
      <c r="T45" s="89">
        <f t="shared" si="4"/>
        <v>0</v>
      </c>
      <c r="U45" s="89">
        <f t="shared" si="5"/>
        <v>3.4536744779213126E-2</v>
      </c>
      <c r="V45" s="89"/>
      <c r="W45" s="89">
        <f t="shared" si="6"/>
        <v>-5.4379913905448015E-4</v>
      </c>
      <c r="X45" s="89"/>
      <c r="Y45" s="89"/>
      <c r="Z45" s="89"/>
    </row>
    <row r="46" spans="1:26" x14ac:dyDescent="0.25">
      <c r="A46" s="90">
        <f>($B$23/10)*9</f>
        <v>0.09</v>
      </c>
      <c r="B46" s="62">
        <f t="shared" si="3"/>
        <v>54.500000000000007</v>
      </c>
      <c r="C46" s="62">
        <f t="shared" si="3"/>
        <v>892404.54334154644</v>
      </c>
      <c r="D46" s="62">
        <f t="shared" si="3"/>
        <v>21.8</v>
      </c>
      <c r="E46" s="62"/>
      <c r="F46" s="62">
        <f t="shared" si="3"/>
        <v>21.8</v>
      </c>
      <c r="G46" s="62">
        <f t="shared" si="3"/>
        <v>380.76096763244476</v>
      </c>
      <c r="H46" s="62">
        <f t="shared" si="3"/>
        <v>6.5400000000000009</v>
      </c>
      <c r="I46" s="62"/>
      <c r="J46" s="88"/>
      <c r="K46" s="54">
        <v>7.1949159910134286</v>
      </c>
      <c r="L46" s="54">
        <v>4.5213937561587434</v>
      </c>
      <c r="M46" s="54">
        <v>4.6978289432652698</v>
      </c>
      <c r="N46" s="54"/>
      <c r="O46" s="54">
        <v>4.5186532325789317</v>
      </c>
      <c r="P46" s="54">
        <v>4.5186532325789317</v>
      </c>
      <c r="Q46" s="54"/>
      <c r="R46" s="88"/>
      <c r="S46" s="89">
        <f t="shared" si="2"/>
        <v>0.59130488938570991</v>
      </c>
      <c r="T46" s="89">
        <f t="shared" si="4"/>
        <v>0</v>
      </c>
      <c r="U46" s="89">
        <f t="shared" si="5"/>
        <v>3.9022300781965308E-2</v>
      </c>
      <c r="V46" s="89"/>
      <c r="W46" s="89">
        <f t="shared" si="6"/>
        <v>-6.0612362638815377E-4</v>
      </c>
      <c r="X46" s="89"/>
      <c r="Y46" s="89"/>
      <c r="Z46" s="89"/>
    </row>
    <row r="47" spans="1:26" x14ac:dyDescent="0.25">
      <c r="A47" s="90">
        <f>($B$23/10)*10</f>
        <v>0.1</v>
      </c>
      <c r="B47" s="62">
        <f t="shared" si="3"/>
        <v>55.000000000000007</v>
      </c>
      <c r="C47" s="62">
        <f t="shared" si="3"/>
        <v>900591.74098688178</v>
      </c>
      <c r="D47" s="62">
        <f t="shared" si="3"/>
        <v>22</v>
      </c>
      <c r="E47" s="62"/>
      <c r="F47" s="62">
        <f t="shared" si="3"/>
        <v>22</v>
      </c>
      <c r="G47" s="62">
        <f t="shared" si="3"/>
        <v>384.25418751898098</v>
      </c>
      <c r="H47" s="62">
        <f t="shared" si="3"/>
        <v>6.6000000000000005</v>
      </c>
      <c r="I47" s="62"/>
      <c r="J47" s="88"/>
      <c r="K47" s="54">
        <v>7.1576484443943764</v>
      </c>
      <c r="L47" s="54">
        <v>4.5213937561587434</v>
      </c>
      <c r="M47" s="54">
        <v>4.718286542893301</v>
      </c>
      <c r="N47" s="54"/>
      <c r="O47" s="54">
        <v>4.5183765967397198</v>
      </c>
      <c r="P47" s="54">
        <v>4.5183765967397198</v>
      </c>
      <c r="Q47" s="54"/>
      <c r="R47" s="88"/>
      <c r="S47" s="89">
        <f t="shared" si="2"/>
        <v>0.58306239854573638</v>
      </c>
      <c r="T47" s="89">
        <f t="shared" si="4"/>
        <v>0</v>
      </c>
      <c r="U47" s="89">
        <f t="shared" si="5"/>
        <v>4.3546923217285212E-2</v>
      </c>
      <c r="V47" s="89"/>
      <c r="W47" s="89">
        <f t="shared" si="6"/>
        <v>-6.6730737948089789E-4</v>
      </c>
      <c r="X47" s="89"/>
      <c r="Y47" s="89"/>
      <c r="Z47" s="89"/>
    </row>
    <row r="52" spans="2:20" ht="15.75" thickBot="1" x14ac:dyDescent="0.3">
      <c r="B52" s="88"/>
      <c r="C52" s="88"/>
      <c r="D52" s="88"/>
    </row>
    <row r="53" spans="2:20" ht="15.75" thickBot="1" x14ac:dyDescent="0.3">
      <c r="B53" s="87"/>
      <c r="C53" s="196" t="s">
        <v>111</v>
      </c>
      <c r="D53" s="197"/>
      <c r="J53" s="52" t="s">
        <v>102</v>
      </c>
      <c r="K53" s="51"/>
      <c r="L53" s="51"/>
      <c r="M53" s="50"/>
      <c r="N53" s="49"/>
      <c r="P53" s="53"/>
      <c r="Q53" s="53"/>
      <c r="R53" s="53"/>
      <c r="S53" s="53"/>
      <c r="T53" s="53"/>
    </row>
    <row r="54" spans="2:20" ht="15.75" thickBot="1" x14ac:dyDescent="0.3">
      <c r="B54" s="86" t="s">
        <v>102</v>
      </c>
      <c r="C54" s="85">
        <v>-0.1</v>
      </c>
      <c r="D54" s="84">
        <v>0.1</v>
      </c>
      <c r="J54" s="73" t="str">
        <f>A8</f>
        <v>Crop Yield</v>
      </c>
      <c r="K54" s="59"/>
      <c r="L54" s="59"/>
      <c r="M54" s="60"/>
      <c r="N54" s="58"/>
      <c r="P54" s="53"/>
      <c r="Q54" s="53"/>
      <c r="R54" s="53"/>
      <c r="S54" s="53"/>
      <c r="T54" s="53"/>
    </row>
    <row r="55" spans="2:20" x14ac:dyDescent="0.25">
      <c r="B55" s="82" t="s">
        <v>110</v>
      </c>
      <c r="C55" s="81">
        <v>50.153051084125202</v>
      </c>
      <c r="D55" s="80">
        <v>2.6627101531543897</v>
      </c>
      <c r="J55" s="25" t="s">
        <v>100</v>
      </c>
      <c r="K55" s="23">
        <v>50</v>
      </c>
      <c r="L55" s="23">
        <v>60</v>
      </c>
      <c r="M55" s="48">
        <v>90</v>
      </c>
      <c r="N55" s="22">
        <v>100</v>
      </c>
      <c r="P55" s="53"/>
      <c r="Q55" s="53"/>
      <c r="R55" s="53"/>
      <c r="S55" s="53"/>
      <c r="T55" s="53"/>
    </row>
    <row r="56" spans="2:20" x14ac:dyDescent="0.25">
      <c r="B56" s="82" t="s">
        <v>109</v>
      </c>
      <c r="C56" s="81">
        <v>116.07207857821852</v>
      </c>
      <c r="D56" s="80">
        <v>2.5871715123780579</v>
      </c>
      <c r="J56" s="25" t="s">
        <v>88</v>
      </c>
      <c r="K56" s="54">
        <v>4.3466165994430339</v>
      </c>
      <c r="L56" s="54">
        <v>3.9160583235879058</v>
      </c>
      <c r="M56" s="54">
        <v>4.8421504141771905</v>
      </c>
      <c r="N56" s="54">
        <v>4.5475546782608696</v>
      </c>
      <c r="P56" s="53"/>
      <c r="Q56" s="53"/>
      <c r="R56" s="53"/>
      <c r="S56" s="53"/>
      <c r="T56" s="53"/>
    </row>
    <row r="57" spans="2:20" x14ac:dyDescent="0.25">
      <c r="B57" s="82" t="s">
        <v>108</v>
      </c>
      <c r="C57" s="81">
        <v>4.7967787270487454</v>
      </c>
      <c r="D57" s="80">
        <v>4.7967787270487454</v>
      </c>
      <c r="J57" s="73" t="str">
        <f>A9</f>
        <v>Digester CAPEX</v>
      </c>
      <c r="K57" s="59">
        <v>-0.2</v>
      </c>
      <c r="L57" s="60">
        <v>-0.1</v>
      </c>
      <c r="M57" s="59">
        <v>0.1</v>
      </c>
      <c r="N57" s="58">
        <v>0.2</v>
      </c>
      <c r="P57" s="53"/>
      <c r="Q57" s="53"/>
      <c r="R57" s="53"/>
      <c r="S57" s="53"/>
      <c r="T57" s="53"/>
    </row>
    <row r="58" spans="2:20" x14ac:dyDescent="0.25">
      <c r="B58" s="82" t="s">
        <v>107</v>
      </c>
      <c r="C58" s="67">
        <v>4.2404213192489513</v>
      </c>
      <c r="D58" s="80">
        <v>5.6008251067580836</v>
      </c>
      <c r="J58" s="25" t="s">
        <v>91</v>
      </c>
      <c r="K58" s="23">
        <v>1024.6778333839491</v>
      </c>
      <c r="L58" s="48">
        <v>1152.7625625569428</v>
      </c>
      <c r="M58" s="23">
        <v>1408.93</v>
      </c>
      <c r="N58" s="22">
        <v>1537.0167500759237</v>
      </c>
      <c r="P58" s="53"/>
      <c r="Q58" s="53"/>
      <c r="R58" s="53"/>
      <c r="S58" s="53"/>
      <c r="T58" s="53"/>
    </row>
    <row r="59" spans="2:20" x14ac:dyDescent="0.25">
      <c r="B59" s="82" t="s">
        <v>106</v>
      </c>
      <c r="C59" s="81">
        <v>8.0653727934184616</v>
      </c>
      <c r="D59" s="80">
        <v>3.3231908284254619</v>
      </c>
      <c r="J59" s="25" t="s">
        <v>88</v>
      </c>
      <c r="K59" s="54">
        <v>2.9171070025103472</v>
      </c>
      <c r="L59" s="54">
        <v>3.1890407061341932</v>
      </c>
      <c r="M59" s="54">
        <v>3.7329081133818853</v>
      </c>
      <c r="N59" s="54">
        <v>4.0048418170057314</v>
      </c>
      <c r="P59" s="53"/>
      <c r="Q59" s="53"/>
      <c r="R59" s="53"/>
      <c r="S59" s="53"/>
      <c r="T59" s="53"/>
    </row>
    <row r="60" spans="2:20" x14ac:dyDescent="0.25">
      <c r="B60" s="82" t="s">
        <v>105</v>
      </c>
      <c r="C60" s="81">
        <v>5.0068121572467446</v>
      </c>
      <c r="D60" s="80">
        <v>4.5862695994021125</v>
      </c>
      <c r="J60" s="83" t="s">
        <v>99</v>
      </c>
      <c r="K60" s="60"/>
      <c r="L60" s="59"/>
      <c r="M60" s="59"/>
      <c r="N60" s="58"/>
      <c r="P60" s="53"/>
      <c r="Q60" s="53"/>
      <c r="R60" s="53"/>
      <c r="S60" s="53"/>
      <c r="T60" s="53"/>
    </row>
    <row r="61" spans="2:20" x14ac:dyDescent="0.25">
      <c r="B61" s="82" t="s">
        <v>104</v>
      </c>
      <c r="C61" s="81">
        <v>7.0908912801981563</v>
      </c>
      <c r="D61" s="80">
        <v>3.5595496880729671</v>
      </c>
      <c r="J61" s="25" t="s">
        <v>98</v>
      </c>
      <c r="K61" s="78">
        <v>-10</v>
      </c>
      <c r="L61" s="79">
        <v>-5</v>
      </c>
      <c r="M61" s="78">
        <v>-2</v>
      </c>
      <c r="N61" s="77">
        <v>-1</v>
      </c>
      <c r="P61" s="53"/>
      <c r="Q61" s="53"/>
      <c r="R61" s="53"/>
      <c r="S61" s="53"/>
      <c r="T61" s="53"/>
    </row>
    <row r="62" spans="2:20" ht="15.75" thickBot="1" x14ac:dyDescent="0.3">
      <c r="B62" s="76" t="s">
        <v>103</v>
      </c>
      <c r="C62" s="75">
        <v>5.2047482883274814</v>
      </c>
      <c r="D62" s="74">
        <v>4.4178775707879927</v>
      </c>
      <c r="J62" s="25" t="s">
        <v>88</v>
      </c>
      <c r="K62" s="54">
        <v>1.3350940736625641</v>
      </c>
      <c r="L62" s="54">
        <v>1.9268809190440088</v>
      </c>
      <c r="M62" s="54">
        <v>2.625009830168104</v>
      </c>
      <c r="N62" s="54">
        <v>2.9855784995215031</v>
      </c>
      <c r="P62" s="53"/>
      <c r="Q62" s="53"/>
      <c r="R62" s="53"/>
      <c r="S62" s="53"/>
      <c r="T62" s="53"/>
    </row>
    <row r="63" spans="2:20" x14ac:dyDescent="0.25">
      <c r="B63" s="68"/>
      <c r="C63" s="67"/>
      <c r="D63" s="66"/>
      <c r="J63" s="73" t="str">
        <f>A11</f>
        <v>O&amp;M Cost</v>
      </c>
      <c r="K63" s="59">
        <v>-0.2</v>
      </c>
      <c r="L63" s="60">
        <v>-0.1</v>
      </c>
      <c r="M63" s="59">
        <v>0.1</v>
      </c>
      <c r="N63" s="58">
        <v>0.2</v>
      </c>
      <c r="P63" s="53"/>
      <c r="Q63" s="53"/>
      <c r="R63" s="53"/>
      <c r="S63" s="53"/>
      <c r="T63" s="53"/>
    </row>
    <row r="64" spans="2:20" x14ac:dyDescent="0.25">
      <c r="B64" s="68"/>
      <c r="C64" s="67"/>
      <c r="D64" s="66"/>
      <c r="J64" s="25" t="s">
        <v>89</v>
      </c>
      <c r="K64" s="72">
        <v>136</v>
      </c>
      <c r="L64" s="72">
        <v>153</v>
      </c>
      <c r="M64" s="72">
        <v>187</v>
      </c>
      <c r="N64" s="72">
        <v>204</v>
      </c>
      <c r="P64" s="53"/>
      <c r="Q64" s="53"/>
      <c r="R64" s="53"/>
      <c r="S64" s="53"/>
      <c r="T64" s="53"/>
    </row>
    <row r="65" spans="2:20" x14ac:dyDescent="0.25">
      <c r="B65" s="68"/>
      <c r="C65" s="67"/>
      <c r="D65" s="66"/>
      <c r="J65" s="25" t="s">
        <v>88</v>
      </c>
      <c r="K65" s="54">
        <v>3.2279607158633445</v>
      </c>
      <c r="L65" s="54">
        <v>3.3404089659994836</v>
      </c>
      <c r="M65" s="54">
        <v>3.5905688800070381</v>
      </c>
      <c r="N65" s="54">
        <v>3.7302460949588778</v>
      </c>
      <c r="P65" s="53"/>
      <c r="Q65" s="53"/>
      <c r="R65" s="53"/>
      <c r="S65" s="53"/>
      <c r="T65" s="53"/>
    </row>
    <row r="66" spans="2:20" x14ac:dyDescent="0.25">
      <c r="B66" s="68"/>
      <c r="C66" s="67"/>
      <c r="D66" s="66"/>
      <c r="J66" s="71" t="s">
        <v>97</v>
      </c>
      <c r="K66" s="59"/>
      <c r="L66" s="60"/>
      <c r="M66" s="59"/>
      <c r="N66" s="58"/>
      <c r="P66" s="53"/>
      <c r="Q66" s="53"/>
      <c r="R66" s="53"/>
      <c r="S66" s="53"/>
      <c r="T66" s="53"/>
    </row>
    <row r="67" spans="2:20" x14ac:dyDescent="0.25">
      <c r="B67" s="68"/>
      <c r="C67" s="67"/>
      <c r="D67" s="66"/>
      <c r="J67" s="25" t="s">
        <v>96</v>
      </c>
      <c r="K67" s="70">
        <v>2</v>
      </c>
      <c r="L67" s="70">
        <v>6</v>
      </c>
      <c r="M67" s="70">
        <v>8</v>
      </c>
      <c r="N67" s="69">
        <v>10</v>
      </c>
      <c r="P67" s="53"/>
      <c r="Q67" s="53"/>
      <c r="R67" s="53"/>
      <c r="S67" s="53"/>
      <c r="T67" s="53"/>
    </row>
    <row r="68" spans="2:20" x14ac:dyDescent="0.25">
      <c r="B68" s="68"/>
      <c r="C68" s="67"/>
      <c r="D68" s="66"/>
      <c r="J68" s="25" t="s">
        <v>88</v>
      </c>
      <c r="K68" s="65">
        <v>5.9735791493229558</v>
      </c>
      <c r="L68" s="65">
        <v>5.5854188461317484</v>
      </c>
      <c r="M68" s="65">
        <v>5.3679538155763566</v>
      </c>
      <c r="N68" s="64">
        <v>4.983733978929501</v>
      </c>
      <c r="P68" s="53"/>
      <c r="Q68" s="53"/>
      <c r="R68" s="53"/>
      <c r="S68" s="53"/>
      <c r="T68" s="53"/>
    </row>
    <row r="69" spans="2:20" x14ac:dyDescent="0.25">
      <c r="J69" s="63" t="str">
        <f>A13</f>
        <v>Reciprocating Gas Engine CAPEX</v>
      </c>
      <c r="K69" s="59">
        <v>-0.2</v>
      </c>
      <c r="L69" s="60">
        <v>-0.1</v>
      </c>
      <c r="M69" s="59">
        <v>0.1</v>
      </c>
      <c r="N69" s="58">
        <v>0.2</v>
      </c>
      <c r="P69" s="53"/>
      <c r="Q69" s="53"/>
      <c r="R69" s="53"/>
      <c r="S69" s="53"/>
      <c r="T69" s="53"/>
    </row>
    <row r="70" spans="2:20" x14ac:dyDescent="0.25">
      <c r="J70" s="25" t="s">
        <v>91</v>
      </c>
      <c r="K70" s="62">
        <f>G$37*(1+$A44)</f>
        <v>373.77452785937237</v>
      </c>
      <c r="L70" s="62">
        <f>G$37*(1+$A45)</f>
        <v>377.26774774590859</v>
      </c>
      <c r="M70" s="62">
        <f>G$37*(1+$A46)</f>
        <v>380.76096763244476</v>
      </c>
      <c r="N70" s="62">
        <f>G$37*(1+$A47)</f>
        <v>384.25418751898098</v>
      </c>
      <c r="P70" s="53"/>
      <c r="Q70" s="53"/>
      <c r="R70" s="53"/>
      <c r="S70" s="53"/>
      <c r="T70" s="53"/>
    </row>
    <row r="71" spans="2:20" x14ac:dyDescent="0.25">
      <c r="J71" s="25" t="s">
        <v>88</v>
      </c>
      <c r="K71" s="54">
        <v>3.312646935054123</v>
      </c>
      <c r="L71" s="54">
        <v>3.3868106724060811</v>
      </c>
      <c r="M71" s="54">
        <v>3.535138147109997</v>
      </c>
      <c r="N71" s="54">
        <v>3.6093018844619551</v>
      </c>
      <c r="P71" s="53"/>
      <c r="Q71" s="53"/>
      <c r="R71" s="53"/>
      <c r="S71" s="53"/>
      <c r="T71" s="53"/>
    </row>
    <row r="72" spans="2:20" x14ac:dyDescent="0.25">
      <c r="J72" s="61" t="str">
        <f>A15</f>
        <v>Engine Electrical Efficiency</v>
      </c>
      <c r="K72" s="59"/>
      <c r="L72" s="60"/>
      <c r="M72" s="59"/>
      <c r="N72" s="58"/>
      <c r="P72" s="53"/>
      <c r="Q72" s="53"/>
      <c r="R72" s="53"/>
      <c r="S72" s="53"/>
      <c r="T72" s="53"/>
    </row>
    <row r="73" spans="2:20" x14ac:dyDescent="0.25">
      <c r="J73" s="25" t="s">
        <v>94</v>
      </c>
      <c r="K73" s="57">
        <v>0.3</v>
      </c>
      <c r="L73" s="57">
        <v>0.32</v>
      </c>
      <c r="M73" s="57">
        <v>0.37</v>
      </c>
      <c r="N73" s="56">
        <v>0.4</v>
      </c>
      <c r="P73" s="53"/>
      <c r="Q73" s="53"/>
      <c r="R73" s="53"/>
      <c r="S73" s="53"/>
      <c r="T73" s="53"/>
    </row>
    <row r="74" spans="2:20" ht="15.75" thickBot="1" x14ac:dyDescent="0.3">
      <c r="J74" s="55" t="s">
        <v>88</v>
      </c>
      <c r="K74" s="54">
        <v>4.2959427860078261</v>
      </c>
      <c r="L74" s="54">
        <v>3.9178650504101817</v>
      </c>
      <c r="M74" s="54">
        <v>3.2113115338220788</v>
      </c>
      <c r="N74" s="54">
        <v>2.8977597892409657</v>
      </c>
      <c r="P74" s="53"/>
      <c r="Q74" s="53"/>
      <c r="R74" s="53"/>
      <c r="S74" s="53"/>
      <c r="T74" s="53"/>
    </row>
    <row r="75" spans="2:20" ht="15.75" thickBot="1" x14ac:dyDescent="0.3">
      <c r="P75" s="53"/>
      <c r="Q75" s="53"/>
      <c r="R75" s="53"/>
      <c r="S75" s="53"/>
      <c r="T75" s="53"/>
    </row>
    <row r="76" spans="2:20" x14ac:dyDescent="0.25">
      <c r="J76" s="52" t="s">
        <v>102</v>
      </c>
      <c r="K76" s="51"/>
      <c r="L76" s="51"/>
      <c r="M76" s="50"/>
      <c r="N76" s="49"/>
    </row>
    <row r="77" spans="2:20" x14ac:dyDescent="0.25">
      <c r="J77" s="30" t="s">
        <v>101</v>
      </c>
      <c r="K77" s="27"/>
      <c r="L77" s="27"/>
      <c r="M77" s="40"/>
      <c r="N77" s="26"/>
    </row>
    <row r="78" spans="2:20" x14ac:dyDescent="0.25">
      <c r="J78" s="25" t="s">
        <v>100</v>
      </c>
      <c r="K78" s="36">
        <v>50</v>
      </c>
      <c r="L78" s="36">
        <v>60</v>
      </c>
      <c r="M78" s="48">
        <v>90</v>
      </c>
      <c r="N78" s="22">
        <v>100</v>
      </c>
    </row>
    <row r="79" spans="2:20" x14ac:dyDescent="0.25">
      <c r="J79" s="33" t="s">
        <v>88</v>
      </c>
      <c r="K79" s="32">
        <v>4.3466165994430339</v>
      </c>
      <c r="L79" s="32">
        <v>3.9160583235879058</v>
      </c>
      <c r="M79" s="32">
        <v>4.8421504141771905</v>
      </c>
      <c r="N79" s="31">
        <v>4.5475546782608696</v>
      </c>
    </row>
    <row r="80" spans="2:20" x14ac:dyDescent="0.25">
      <c r="J80" s="47" t="s">
        <v>99</v>
      </c>
      <c r="K80" s="40"/>
      <c r="L80" s="27"/>
      <c r="M80" s="27"/>
      <c r="N80" s="26"/>
    </row>
    <row r="81" spans="10:14" x14ac:dyDescent="0.25">
      <c r="J81" s="25" t="s">
        <v>98</v>
      </c>
      <c r="K81" s="36">
        <v>-10</v>
      </c>
      <c r="L81" s="35">
        <v>-5</v>
      </c>
      <c r="M81" s="36">
        <v>-2</v>
      </c>
      <c r="N81" s="46">
        <v>-1</v>
      </c>
    </row>
    <row r="82" spans="10:14" x14ac:dyDescent="0.25">
      <c r="J82" s="33" t="s">
        <v>88</v>
      </c>
      <c r="K82" s="32">
        <v>1.3350940736625641</v>
      </c>
      <c r="L82" s="32">
        <v>1.9268809190440088</v>
      </c>
      <c r="M82" s="32">
        <v>2.625009830168104</v>
      </c>
      <c r="N82" s="31">
        <v>2.9855784995215031</v>
      </c>
    </row>
    <row r="83" spans="10:14" x14ac:dyDescent="0.25">
      <c r="J83" s="45" t="s">
        <v>97</v>
      </c>
      <c r="K83" s="27"/>
      <c r="L83" s="40"/>
      <c r="M83" s="27"/>
      <c r="N83" s="26"/>
    </row>
    <row r="84" spans="10:14" x14ac:dyDescent="0.25">
      <c r="J84" s="25" t="s">
        <v>96</v>
      </c>
      <c r="K84" s="44">
        <v>2</v>
      </c>
      <c r="L84" s="23">
        <v>6</v>
      </c>
      <c r="M84" s="23">
        <v>8</v>
      </c>
      <c r="N84" s="22">
        <v>10</v>
      </c>
    </row>
    <row r="85" spans="10:14" x14ac:dyDescent="0.25">
      <c r="J85" s="33" t="s">
        <v>88</v>
      </c>
      <c r="K85" s="43">
        <v>5.9735791493229558</v>
      </c>
      <c r="L85" s="43">
        <v>5.5854188461317484</v>
      </c>
      <c r="M85" s="43">
        <v>5.3679538155763566</v>
      </c>
      <c r="N85" s="42">
        <v>4.983733978929501</v>
      </c>
    </row>
    <row r="86" spans="10:14" x14ac:dyDescent="0.25">
      <c r="J86" s="41" t="s">
        <v>95</v>
      </c>
      <c r="K86" s="27"/>
      <c r="L86" s="40"/>
      <c r="M86" s="27"/>
      <c r="N86" s="26"/>
    </row>
    <row r="87" spans="10:14" x14ac:dyDescent="0.25">
      <c r="J87" s="25" t="s">
        <v>94</v>
      </c>
      <c r="K87" s="39">
        <v>0.3</v>
      </c>
      <c r="L87" s="39">
        <v>0.32</v>
      </c>
      <c r="M87" s="38">
        <v>0.37</v>
      </c>
      <c r="N87" s="37">
        <v>0.4</v>
      </c>
    </row>
    <row r="88" spans="10:14" x14ac:dyDescent="0.25">
      <c r="J88" s="33" t="s">
        <v>88</v>
      </c>
      <c r="K88" s="32">
        <v>4.2959427860078261</v>
      </c>
      <c r="L88" s="32">
        <v>3.9178650504101817</v>
      </c>
      <c r="M88" s="32">
        <v>3.2113115338220788</v>
      </c>
      <c r="N88" s="31">
        <v>2.8977597892409657</v>
      </c>
    </row>
    <row r="89" spans="10:14" x14ac:dyDescent="0.25">
      <c r="J89" s="30" t="s">
        <v>93</v>
      </c>
      <c r="K89" s="29">
        <v>-0.2</v>
      </c>
      <c r="L89" s="28">
        <v>-0.1</v>
      </c>
      <c r="M89" s="27">
        <v>0.1</v>
      </c>
      <c r="N89" s="26">
        <v>0.2</v>
      </c>
    </row>
    <row r="90" spans="10:14" x14ac:dyDescent="0.25">
      <c r="J90" s="25" t="s">
        <v>91</v>
      </c>
      <c r="K90" s="36">
        <f>ROUND(1024.67783338395,2)</f>
        <v>1024.68</v>
      </c>
      <c r="L90" s="35">
        <v>1152.76</v>
      </c>
      <c r="M90" s="23">
        <v>1408.93</v>
      </c>
      <c r="N90" s="22">
        <v>1537.02</v>
      </c>
    </row>
    <row r="91" spans="10:14" x14ac:dyDescent="0.25">
      <c r="J91" s="33" t="s">
        <v>88</v>
      </c>
      <c r="K91" s="32">
        <v>2.9171070025103472</v>
      </c>
      <c r="L91" s="32">
        <v>3.1890407061341932</v>
      </c>
      <c r="M91" s="32">
        <v>3.7329081133818853</v>
      </c>
      <c r="N91" s="31">
        <v>4.0048418170057314</v>
      </c>
    </row>
    <row r="92" spans="10:14" x14ac:dyDescent="0.25">
      <c r="J92" s="34" t="s">
        <v>92</v>
      </c>
      <c r="K92" s="29">
        <v>-0.2</v>
      </c>
      <c r="L92" s="28">
        <v>-0.1</v>
      </c>
      <c r="M92" s="27">
        <v>0.1</v>
      </c>
      <c r="N92" s="26">
        <v>0.2</v>
      </c>
    </row>
    <row r="93" spans="10:14" x14ac:dyDescent="0.25">
      <c r="J93" s="25" t="s">
        <v>91</v>
      </c>
      <c r="K93" s="24">
        <f>G$37*(1+$A67)</f>
        <v>349.32198865361903</v>
      </c>
      <c r="L93" s="24">
        <f>G$37*(1+$A68)</f>
        <v>349.32198865361903</v>
      </c>
      <c r="M93" s="23">
        <f>G$37*(1+$A69)</f>
        <v>349.32198865361903</v>
      </c>
      <c r="N93" s="22">
        <f>G$37*(1+$A70)</f>
        <v>349.32198865361903</v>
      </c>
    </row>
    <row r="94" spans="10:14" x14ac:dyDescent="0.25">
      <c r="J94" s="33" t="s">
        <v>88</v>
      </c>
      <c r="K94" s="32">
        <v>3.312646935054123</v>
      </c>
      <c r="L94" s="32">
        <v>3.3868106724060811</v>
      </c>
      <c r="M94" s="32">
        <v>3.535138147109997</v>
      </c>
      <c r="N94" s="31">
        <v>3.6093018844619551</v>
      </c>
    </row>
    <row r="95" spans="10:14" x14ac:dyDescent="0.25">
      <c r="J95" s="30" t="s">
        <v>90</v>
      </c>
      <c r="K95" s="29">
        <v>-0.2</v>
      </c>
      <c r="L95" s="28">
        <v>-0.1</v>
      </c>
      <c r="M95" s="27">
        <v>0.1</v>
      </c>
      <c r="N95" s="26">
        <v>0.2</v>
      </c>
    </row>
    <row r="96" spans="10:14" x14ac:dyDescent="0.25">
      <c r="J96" s="25" t="s">
        <v>89</v>
      </c>
      <c r="K96" s="24">
        <v>136</v>
      </c>
      <c r="L96" s="24">
        <v>153</v>
      </c>
      <c r="M96" s="23">
        <v>187</v>
      </c>
      <c r="N96" s="22">
        <v>204</v>
      </c>
    </row>
    <row r="97" spans="10:14" ht="15.75" thickBot="1" x14ac:dyDescent="0.3">
      <c r="J97" s="21" t="s">
        <v>88</v>
      </c>
      <c r="K97" s="20">
        <v>3.2279607158633445</v>
      </c>
      <c r="L97" s="20">
        <v>3.3404089659994836</v>
      </c>
      <c r="M97" s="20">
        <v>3.5905688800070381</v>
      </c>
      <c r="N97" s="19">
        <v>3.7302460949588778</v>
      </c>
    </row>
    <row r="98" spans="10:14" x14ac:dyDescent="0.25">
      <c r="J98" s="18" t="s">
        <v>87</v>
      </c>
    </row>
  </sheetData>
  <mergeCells count="2">
    <mergeCell ref="A1:G4"/>
    <mergeCell ref="C53:D53"/>
  </mergeCells>
  <conditionalFormatting sqref="K79:N79 K82:N82 K85:N85 K88:N88 K91:N91 K94:N94 K97:N9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forADCalc">
                <anchor moveWithCells="1" sizeWithCells="1">
                  <from>
                    <xdr:col>3</xdr:col>
                    <xdr:colOff>581025</xdr:colOff>
                    <xdr:row>4</xdr:row>
                    <xdr:rowOff>152400</xdr:rowOff>
                  </from>
                  <to>
                    <xdr:col>7</xdr:col>
                    <xdr:colOff>466725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37"/>
  <sheetViews>
    <sheetView topLeftCell="A19" workbookViewId="0">
      <selection activeCell="A39" sqref="A39"/>
    </sheetView>
  </sheetViews>
  <sheetFormatPr defaultRowHeight="12.75" x14ac:dyDescent="0.2"/>
  <cols>
    <col min="1" max="1" width="21.7109375" customWidth="1"/>
  </cols>
  <sheetData>
    <row r="2" spans="1:6" x14ac:dyDescent="0.2">
      <c r="A2" s="136" t="s">
        <v>156</v>
      </c>
    </row>
    <row r="4" spans="1:6" x14ac:dyDescent="0.2">
      <c r="A4" s="136" t="s">
        <v>157</v>
      </c>
    </row>
    <row r="6" spans="1:6" x14ac:dyDescent="0.2">
      <c r="A6" s="136"/>
      <c r="F6" s="136" t="s">
        <v>158</v>
      </c>
    </row>
    <row r="7" spans="1:6" ht="15" x14ac:dyDescent="0.25">
      <c r="A7" s="137"/>
      <c r="B7">
        <v>0</v>
      </c>
      <c r="C7">
        <v>200</v>
      </c>
      <c r="D7">
        <v>400</v>
      </c>
      <c r="E7">
        <v>600</v>
      </c>
      <c r="F7">
        <v>800</v>
      </c>
    </row>
    <row r="8" spans="1:6" x14ac:dyDescent="0.2">
      <c r="A8">
        <v>0</v>
      </c>
      <c r="B8">
        <v>13</v>
      </c>
      <c r="C8">
        <v>12.68250364353724</v>
      </c>
      <c r="D8">
        <v>9.1117281792432454</v>
      </c>
      <c r="E8">
        <v>7.6866600631798399</v>
      </c>
      <c r="F8">
        <v>6.8286062668948588</v>
      </c>
    </row>
    <row r="9" spans="1:6" x14ac:dyDescent="0.2">
      <c r="A9">
        <v>50</v>
      </c>
      <c r="B9">
        <v>12.866707216478153</v>
      </c>
      <c r="C9">
        <v>9.7201840042922125</v>
      </c>
      <c r="D9">
        <v>8.1135842957047473</v>
      </c>
      <c r="E9">
        <v>7.1058178867101764</v>
      </c>
      <c r="F9">
        <v>6.397111490266119</v>
      </c>
    </row>
    <row r="10" spans="1:6" x14ac:dyDescent="0.2">
      <c r="A10">
        <v>100</v>
      </c>
      <c r="B10">
        <v>8.6443322849664188</v>
      </c>
      <c r="C10">
        <v>7.5119351720945673</v>
      </c>
      <c r="D10">
        <v>6.7102508141722996</v>
      </c>
      <c r="E10">
        <v>6.7287032434733227</v>
      </c>
      <c r="F10">
        <v>6.1754989700150622</v>
      </c>
    </row>
    <row r="11" spans="1:6" x14ac:dyDescent="0.2">
      <c r="A11">
        <v>150</v>
      </c>
      <c r="B11">
        <v>7.6370530641705709</v>
      </c>
      <c r="C11">
        <v>6.8924055950447238</v>
      </c>
      <c r="D11">
        <v>6.3076521368268494</v>
      </c>
      <c r="E11">
        <v>5.8327872111522048</v>
      </c>
      <c r="F11">
        <v>5.4369383117701666</v>
      </c>
    </row>
    <row r="12" spans="1:6" x14ac:dyDescent="0.2">
      <c r="A12">
        <v>200</v>
      </c>
      <c r="B12">
        <v>6.3372361741021459</v>
      </c>
      <c r="C12">
        <v>5.855404333220573</v>
      </c>
      <c r="D12">
        <v>5.4520634909333205</v>
      </c>
      <c r="E12">
        <v>5.107838045648875</v>
      </c>
      <c r="F12">
        <v>4.8093419903428059</v>
      </c>
    </row>
    <row r="13" spans="1:6" x14ac:dyDescent="0.2">
      <c r="A13">
        <v>250</v>
      </c>
      <c r="B13">
        <v>5.4156314455398311</v>
      </c>
      <c r="C13">
        <v>9.3473753138516464</v>
      </c>
      <c r="D13">
        <v>8.5769229734766768</v>
      </c>
      <c r="E13">
        <v>7.933521445599836</v>
      </c>
      <c r="F13">
        <v>7.3863018306778416</v>
      </c>
    </row>
    <row r="14" spans="1:6" x14ac:dyDescent="0.2">
      <c r="A14">
        <v>300</v>
      </c>
      <c r="B14">
        <v>8.787869767759835</v>
      </c>
      <c r="C14">
        <v>8.1051063495526883</v>
      </c>
      <c r="D14">
        <v>7.5258220241295675</v>
      </c>
      <c r="E14">
        <v>7.0267574449585339</v>
      </c>
      <c r="F14">
        <v>6.5911962123362624</v>
      </c>
    </row>
    <row r="25" spans="1:10" ht="13.5" thickBot="1" x14ac:dyDescent="0.25"/>
    <row r="26" spans="1:10" ht="75" x14ac:dyDescent="0.2">
      <c r="A26" s="171"/>
      <c r="B26" s="200" t="s">
        <v>241</v>
      </c>
      <c r="C26" s="201"/>
      <c r="D26" s="200" t="s">
        <v>240</v>
      </c>
      <c r="E26" s="201"/>
      <c r="F26" s="168" t="s">
        <v>239</v>
      </c>
      <c r="G26" s="200" t="s">
        <v>238</v>
      </c>
      <c r="H26" s="201"/>
      <c r="I26" s="168" t="s">
        <v>237</v>
      </c>
      <c r="J26" s="168" t="s">
        <v>236</v>
      </c>
    </row>
    <row r="27" spans="1:10" ht="15" x14ac:dyDescent="0.2">
      <c r="A27" s="171"/>
      <c r="B27" s="202"/>
      <c r="C27" s="203"/>
      <c r="D27" s="202"/>
      <c r="E27" s="203"/>
      <c r="F27" s="169"/>
      <c r="G27" s="202"/>
      <c r="H27" s="203"/>
      <c r="I27" s="169"/>
      <c r="J27" s="169"/>
    </row>
    <row r="28" spans="1:10" ht="45" x14ac:dyDescent="0.2">
      <c r="A28" s="171"/>
      <c r="B28" s="169" t="s">
        <v>242</v>
      </c>
      <c r="C28" s="169" t="s">
        <v>243</v>
      </c>
      <c r="D28" s="198" t="s">
        <v>245</v>
      </c>
      <c r="E28" s="198" t="s">
        <v>244</v>
      </c>
      <c r="F28" s="198" t="s">
        <v>231</v>
      </c>
      <c r="G28" s="198" t="s">
        <v>232</v>
      </c>
      <c r="H28" s="198" t="s">
        <v>233</v>
      </c>
      <c r="I28" s="198" t="s">
        <v>234</v>
      </c>
      <c r="J28" s="198" t="s">
        <v>235</v>
      </c>
    </row>
    <row r="29" spans="1:10" ht="15.75" thickBot="1" x14ac:dyDescent="0.25">
      <c r="A29" s="171"/>
      <c r="B29" s="170" t="s">
        <v>230</v>
      </c>
      <c r="C29" s="170" t="s">
        <v>246</v>
      </c>
      <c r="D29" s="199"/>
      <c r="E29" s="199"/>
      <c r="F29" s="199"/>
      <c r="G29" s="199"/>
      <c r="H29" s="199"/>
      <c r="I29" s="199"/>
      <c r="J29" s="199"/>
    </row>
    <row r="30" spans="1:10" ht="15" x14ac:dyDescent="0.2">
      <c r="A30" s="171" t="s">
        <v>229</v>
      </c>
      <c r="B30" s="171">
        <v>25</v>
      </c>
      <c r="C30" s="171">
        <v>85</v>
      </c>
      <c r="D30" s="171">
        <v>450</v>
      </c>
      <c r="E30" s="171">
        <v>95.6</v>
      </c>
      <c r="F30" s="171">
        <v>55</v>
      </c>
      <c r="G30" s="171">
        <v>1</v>
      </c>
      <c r="H30" s="171">
        <v>25</v>
      </c>
      <c r="I30" s="171"/>
      <c r="J30" s="171"/>
    </row>
    <row r="31" spans="1:10" ht="15" x14ac:dyDescent="0.2">
      <c r="A31" s="171" t="s">
        <v>225</v>
      </c>
      <c r="B31" s="171">
        <v>40</v>
      </c>
      <c r="C31" s="171">
        <v>75</v>
      </c>
      <c r="D31" s="171">
        <v>500</v>
      </c>
      <c r="E31" s="171">
        <v>150</v>
      </c>
      <c r="F31" s="171">
        <v>55</v>
      </c>
      <c r="G31" s="171">
        <v>1</v>
      </c>
      <c r="H31" s="171">
        <v>25</v>
      </c>
      <c r="I31" s="171"/>
      <c r="J31" s="171"/>
    </row>
    <row r="32" spans="1:10" ht="30" x14ac:dyDescent="0.2">
      <c r="A32" s="171" t="s">
        <v>226</v>
      </c>
      <c r="B32" s="171">
        <v>10</v>
      </c>
      <c r="C32" s="171">
        <v>80</v>
      </c>
      <c r="D32" s="171">
        <v>380</v>
      </c>
      <c r="E32" s="171">
        <v>30.4</v>
      </c>
      <c r="F32" s="171">
        <v>55</v>
      </c>
      <c r="G32" s="171">
        <v>1</v>
      </c>
      <c r="H32" s="171">
        <v>25</v>
      </c>
      <c r="I32" s="171"/>
      <c r="J32" s="171"/>
    </row>
    <row r="33" spans="1:10" ht="15" x14ac:dyDescent="0.2">
      <c r="A33" s="171" t="s">
        <v>228</v>
      </c>
      <c r="B33" s="171">
        <v>6</v>
      </c>
      <c r="C33" s="171">
        <v>80</v>
      </c>
      <c r="D33" s="171">
        <v>420</v>
      </c>
      <c r="E33" s="171">
        <v>20.2</v>
      </c>
      <c r="F33" s="171">
        <v>60</v>
      </c>
      <c r="G33" s="171">
        <v>0</v>
      </c>
      <c r="H33" s="171">
        <v>0</v>
      </c>
      <c r="I33" s="171"/>
      <c r="J33" s="171"/>
    </row>
    <row r="34" spans="1:10" ht="15" x14ac:dyDescent="0.2">
      <c r="A34" s="171" t="s">
        <v>227</v>
      </c>
      <c r="B34" s="171">
        <v>27.2</v>
      </c>
      <c r="C34" s="171">
        <v>84.2</v>
      </c>
      <c r="D34" s="171">
        <v>491</v>
      </c>
      <c r="E34" s="171">
        <v>112.5</v>
      </c>
      <c r="F34" s="171">
        <v>52</v>
      </c>
      <c r="G34" s="171">
        <v>0</v>
      </c>
      <c r="H34" s="171">
        <v>0</v>
      </c>
      <c r="I34" s="171"/>
      <c r="J34" s="171"/>
    </row>
    <row r="35" spans="1:10" ht="15" x14ac:dyDescent="0.2">
      <c r="A35" s="171" t="s">
        <v>247</v>
      </c>
      <c r="B35" s="171">
        <v>35</v>
      </c>
      <c r="C35" s="171">
        <v>95</v>
      </c>
      <c r="D35" s="171">
        <v>650</v>
      </c>
      <c r="E35" s="171">
        <v>216.1</v>
      </c>
      <c r="F35" s="171">
        <v>52</v>
      </c>
      <c r="I35" s="171"/>
    </row>
    <row r="36" spans="1:10" ht="15" x14ac:dyDescent="0.2">
      <c r="A36" s="171" t="s">
        <v>211</v>
      </c>
      <c r="B36" s="171">
        <v>22</v>
      </c>
      <c r="C36" s="171">
        <v>94</v>
      </c>
      <c r="D36" s="171">
        <v>730</v>
      </c>
      <c r="E36" s="171">
        <v>151</v>
      </c>
      <c r="F36" s="171">
        <v>52</v>
      </c>
      <c r="G36" s="171">
        <v>30</v>
      </c>
      <c r="H36" s="171">
        <v>42.9</v>
      </c>
      <c r="I36" s="171"/>
    </row>
    <row r="37" spans="1:10" ht="15" x14ac:dyDescent="0.2">
      <c r="A37" s="171" t="s">
        <v>248</v>
      </c>
      <c r="B37" s="171">
        <v>87.6</v>
      </c>
      <c r="C37" s="171">
        <v>92.6</v>
      </c>
      <c r="D37" s="171">
        <v>399</v>
      </c>
      <c r="E37" s="171">
        <v>323.7</v>
      </c>
      <c r="F37" s="171">
        <v>67.099999999999994</v>
      </c>
      <c r="G37" s="171">
        <v>40</v>
      </c>
      <c r="H37" s="171">
        <v>57.1</v>
      </c>
    </row>
  </sheetData>
  <mergeCells count="12">
    <mergeCell ref="G28:G29"/>
    <mergeCell ref="H28:H29"/>
    <mergeCell ref="I28:I29"/>
    <mergeCell ref="J28:J29"/>
    <mergeCell ref="B26:C27"/>
    <mergeCell ref="D26:E26"/>
    <mergeCell ref="D27:E27"/>
    <mergeCell ref="G26:H26"/>
    <mergeCell ref="G27:H27"/>
    <mergeCell ref="D28:D29"/>
    <mergeCell ref="E28:E29"/>
    <mergeCell ref="F28:F29"/>
  </mergeCells>
  <conditionalFormatting sqref="B8:F14">
    <cfRule type="top10" dxfId="0" priority="1" bottom="1" rank="1"/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3.0</addinversion>
</versions>
</file>

<file path=customXml/item2.xml>��     
</file>

<file path=customXml/itemProps1.xml><?xml version="1.0" encoding="utf-8"?>
<ds:datastoreItem xmlns:ds="http://schemas.openxmlformats.org/officeDocument/2006/customXml" ds:itemID="{E900D08B-C235-4B7B-9E2E-B44DD6890F4E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79884F3B-5EB5-4929-8D13-82523208A76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Farm plan</vt:lpstr>
      <vt:lpstr>Dashboard</vt:lpstr>
      <vt:lpstr>Calcs</vt:lpstr>
      <vt:lpstr>Sensitivity Analysis</vt:lpstr>
      <vt:lpstr>Sheet1</vt:lpstr>
      <vt:lpstr>Sensitivity Analysis Chart</vt:lpstr>
      <vt:lpstr>Blr_Efficiency</vt:lpstr>
      <vt:lpstr>Crop_Price</vt:lpstr>
      <vt:lpstr>Crop_Price_SA</vt:lpstr>
      <vt:lpstr>Crop_Yield</vt:lpstr>
      <vt:lpstr>Crop_Yield_SA</vt:lpstr>
      <vt:lpstr>Elec_Bill</vt:lpstr>
      <vt:lpstr>Elec_Capacity</vt:lpstr>
      <vt:lpstr>Elec_Price</vt:lpstr>
      <vt:lpstr>Elec_SA</vt:lpstr>
      <vt:lpstr>Export_Tariff</vt:lpstr>
      <vt:lpstr>ExportSA</vt:lpstr>
      <vt:lpstr>Heat_Bill</vt:lpstr>
      <vt:lpstr>Heat_Price</vt:lpstr>
      <vt:lpstr>Heat_SA</vt:lpstr>
      <vt:lpstr>Input_Scroll</vt:lpstr>
      <vt:lpstr>Maize_Area</vt:lpstr>
      <vt:lpstr>Ops_Hours</vt:lpstr>
      <vt:lpstr>SPB</vt:lpstr>
      <vt:lpstr>Summer_Grazed</vt:lpstr>
      <vt:lpstr>var1_Out</vt:lpstr>
      <vt:lpstr>var2_Out</vt:lpstr>
      <vt:lpstr>var3_Out</vt:lpstr>
      <vt:lpstr>var4_Out</vt:lpstr>
      <vt:lpstr>var5_Out</vt:lpstr>
      <vt:lpstr>Zero_Grazed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j.scott2@aston.ac.uk;d.wright3@aston.ac.uk;Mike@greenwatt.co.uk;Mike</dc:creator>
  <cp:lastModifiedBy>Dan</cp:lastModifiedBy>
  <cp:lastPrinted>2013-10-14T15:50:28Z</cp:lastPrinted>
  <dcterms:created xsi:type="dcterms:W3CDTF">2009-02-13T11:11:05Z</dcterms:created>
  <dcterms:modified xsi:type="dcterms:W3CDTF">2013-11-12T09:46:12Z</dcterms:modified>
</cp:coreProperties>
</file>